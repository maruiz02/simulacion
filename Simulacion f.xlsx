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8_{C580EB2F-2407-45BE-B290-1EB1A6F6B767}" xr6:coauthVersionLast="47" xr6:coauthVersionMax="47" xr10:uidLastSave="{00000000-0000-0000-0000-000000000000}"/>
  <bookViews>
    <workbookView xWindow="-120" yWindow="-120" windowWidth="29040" windowHeight="15720" xr2:uid="{4C7E1030-DE35-4646-9A5E-763E8DC020F9}"/>
  </bookViews>
  <sheets>
    <sheet name="QuejasXTrimestre" sheetId="1" r:id="rId1"/>
    <sheet name="EntradaQuejas" sheetId="2" r:id="rId2"/>
    <sheet name="ResXVisi" sheetId="15" r:id="rId3"/>
    <sheet name="SalidaQuejas" sheetId="1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2" l="1"/>
  <c r="E40" i="2"/>
  <c r="E36" i="2"/>
  <c r="E32" i="2"/>
  <c r="E28" i="2"/>
  <c r="E24" i="2"/>
  <c r="E20" i="2"/>
  <c r="E16" i="2"/>
  <c r="E12" i="2"/>
  <c r="E8" i="2"/>
  <c r="E4" i="2"/>
  <c r="E43" i="2"/>
  <c r="E39" i="2"/>
  <c r="E35" i="2"/>
  <c r="E31" i="2"/>
  <c r="E27" i="2"/>
  <c r="E23" i="2"/>
  <c r="E19" i="2"/>
  <c r="E15" i="2"/>
  <c r="E11" i="2"/>
  <c r="E7" i="2"/>
  <c r="E3" i="2"/>
  <c r="D46" i="2"/>
  <c r="D42" i="2"/>
  <c r="D38" i="2"/>
  <c r="D34" i="2"/>
  <c r="D30" i="2"/>
  <c r="D26" i="2"/>
  <c r="D22" i="2"/>
  <c r="D18" i="2"/>
  <c r="D14" i="2"/>
  <c r="D10" i="2"/>
  <c r="D6" i="2"/>
  <c r="O6" i="2" s="1"/>
  <c r="D45" i="2"/>
  <c r="D41" i="2"/>
  <c r="D37" i="2"/>
  <c r="D33" i="2"/>
  <c r="D29" i="2"/>
  <c r="D25" i="2"/>
  <c r="D21" i="2"/>
  <c r="D17" i="2"/>
  <c r="D13" i="2"/>
  <c r="D9" i="2"/>
  <c r="D5" i="2"/>
  <c r="O5" i="2" s="1"/>
  <c r="D3" i="2"/>
  <c r="D44" i="2"/>
  <c r="D40" i="2"/>
  <c r="D36" i="2"/>
  <c r="D32" i="2"/>
  <c r="D28" i="2"/>
  <c r="D24" i="2"/>
  <c r="D20" i="2"/>
  <c r="D16" i="2"/>
  <c r="D12" i="2"/>
  <c r="D8" i="2"/>
  <c r="D4" i="2"/>
  <c r="D43" i="2"/>
  <c r="D39" i="2"/>
  <c r="D35" i="2"/>
  <c r="D31" i="2"/>
  <c r="D27" i="2"/>
  <c r="D23" i="2"/>
  <c r="D19" i="2"/>
  <c r="D15" i="2"/>
  <c r="D11" i="2"/>
  <c r="D7" i="2"/>
  <c r="O191" i="15"/>
  <c r="D206" i="15"/>
  <c r="D205" i="15"/>
  <c r="D204" i="15"/>
  <c r="D203" i="15"/>
  <c r="D202" i="15"/>
  <c r="D201" i="15"/>
  <c r="C201" i="15"/>
  <c r="D200" i="15"/>
  <c r="C202" i="15"/>
  <c r="C203" i="15"/>
  <c r="C204" i="15"/>
  <c r="C205" i="15"/>
  <c r="C200" i="15"/>
  <c r="D199" i="15"/>
  <c r="D198" i="15"/>
  <c r="D197" i="15"/>
  <c r="D196" i="15"/>
  <c r="C197" i="15"/>
  <c r="C198" i="15"/>
  <c r="C199" i="15"/>
  <c r="C196" i="15"/>
  <c r="C195" i="15"/>
  <c r="D195" i="15" s="1"/>
  <c r="M191" i="15"/>
  <c r="L191" i="15"/>
  <c r="K191" i="15"/>
  <c r="J191" i="15"/>
  <c r="I191" i="15"/>
  <c r="H191" i="15"/>
  <c r="G191" i="15"/>
  <c r="F191" i="15"/>
  <c r="E191" i="15"/>
  <c r="F190" i="15"/>
  <c r="G190" i="15"/>
  <c r="H190" i="15"/>
  <c r="I190" i="15"/>
  <c r="J190" i="15"/>
  <c r="K190" i="15"/>
  <c r="L190" i="15"/>
  <c r="M190" i="15"/>
  <c r="E190" i="15"/>
  <c r="D191" i="15"/>
  <c r="D190" i="15"/>
  <c r="E33" i="15"/>
  <c r="F33" i="15"/>
  <c r="G33" i="15"/>
  <c r="H33" i="15"/>
  <c r="I33" i="15"/>
  <c r="J33" i="15"/>
  <c r="K33" i="15"/>
  <c r="L33" i="15"/>
  <c r="M33" i="15"/>
  <c r="E45" i="15"/>
  <c r="F45" i="15"/>
  <c r="G45" i="15"/>
  <c r="H45" i="15"/>
  <c r="I45" i="15"/>
  <c r="J45" i="15"/>
  <c r="K45" i="15"/>
  <c r="L45" i="15"/>
  <c r="M45" i="15"/>
  <c r="E57" i="15"/>
  <c r="F57" i="15"/>
  <c r="G57" i="15"/>
  <c r="H57" i="15"/>
  <c r="I57" i="15"/>
  <c r="J57" i="15"/>
  <c r="K57" i="15"/>
  <c r="L57" i="15"/>
  <c r="M57" i="15"/>
  <c r="E69" i="15"/>
  <c r="F69" i="15"/>
  <c r="G69" i="15"/>
  <c r="H69" i="15"/>
  <c r="I69" i="15"/>
  <c r="J69" i="15"/>
  <c r="K69" i="15"/>
  <c r="L69" i="15"/>
  <c r="M69" i="15"/>
  <c r="E81" i="15"/>
  <c r="F81" i="15"/>
  <c r="G81" i="15"/>
  <c r="H81" i="15"/>
  <c r="I81" i="15"/>
  <c r="J81" i="15"/>
  <c r="K81" i="15"/>
  <c r="L81" i="15"/>
  <c r="M81" i="15"/>
  <c r="E93" i="15"/>
  <c r="F93" i="15"/>
  <c r="G93" i="15"/>
  <c r="H93" i="15"/>
  <c r="I93" i="15"/>
  <c r="J93" i="15"/>
  <c r="K93" i="15"/>
  <c r="L93" i="15"/>
  <c r="M93" i="15"/>
  <c r="E104" i="15"/>
  <c r="F104" i="15"/>
  <c r="G104" i="15"/>
  <c r="H104" i="15"/>
  <c r="I104" i="15"/>
  <c r="J104" i="15"/>
  <c r="K104" i="15"/>
  <c r="L104" i="15"/>
  <c r="M104" i="15"/>
  <c r="E116" i="15"/>
  <c r="F116" i="15"/>
  <c r="G116" i="15"/>
  <c r="H116" i="15"/>
  <c r="I116" i="15"/>
  <c r="J116" i="15"/>
  <c r="K116" i="15"/>
  <c r="L116" i="15"/>
  <c r="M116" i="15"/>
  <c r="E140" i="15"/>
  <c r="F140" i="15"/>
  <c r="G140" i="15"/>
  <c r="H140" i="15"/>
  <c r="I140" i="15"/>
  <c r="J140" i="15"/>
  <c r="K140" i="15"/>
  <c r="L140" i="15"/>
  <c r="M140" i="15"/>
  <c r="E152" i="15"/>
  <c r="F152" i="15"/>
  <c r="G152" i="15"/>
  <c r="H152" i="15"/>
  <c r="I152" i="15"/>
  <c r="J152" i="15"/>
  <c r="K152" i="15"/>
  <c r="L152" i="15"/>
  <c r="M152" i="15"/>
  <c r="E164" i="15"/>
  <c r="F164" i="15"/>
  <c r="G164" i="15"/>
  <c r="H164" i="15"/>
  <c r="I164" i="15"/>
  <c r="J164" i="15"/>
  <c r="K164" i="15"/>
  <c r="L164" i="15"/>
  <c r="M164" i="15"/>
  <c r="E175" i="15"/>
  <c r="F175" i="15"/>
  <c r="G175" i="15"/>
  <c r="H175" i="15"/>
  <c r="I175" i="15"/>
  <c r="J175" i="15"/>
  <c r="K175" i="15"/>
  <c r="L175" i="15"/>
  <c r="M175" i="15"/>
  <c r="E187" i="15"/>
  <c r="F187" i="15"/>
  <c r="G187" i="15"/>
  <c r="H187" i="15"/>
  <c r="I187" i="15"/>
  <c r="J187" i="15"/>
  <c r="K187" i="15"/>
  <c r="L187" i="15"/>
  <c r="M187" i="15"/>
  <c r="D187" i="15"/>
  <c r="B190" i="15"/>
  <c r="D175" i="15"/>
  <c r="D164" i="15"/>
  <c r="D152" i="15"/>
  <c r="D140" i="15"/>
  <c r="D128" i="15"/>
  <c r="D116" i="15"/>
  <c r="D104" i="15"/>
  <c r="D93" i="15"/>
  <c r="D81" i="15"/>
  <c r="D69" i="15"/>
  <c r="D57" i="15"/>
  <c r="D45" i="15"/>
  <c r="D33" i="15"/>
  <c r="E21" i="15"/>
  <c r="F21" i="15"/>
  <c r="G21" i="15"/>
  <c r="H21" i="15"/>
  <c r="I21" i="15"/>
  <c r="J21" i="15"/>
  <c r="K21" i="15"/>
  <c r="L21" i="15"/>
  <c r="M21" i="15"/>
  <c r="F9" i="15"/>
  <c r="G9" i="15"/>
  <c r="H9" i="15"/>
  <c r="I9" i="15"/>
  <c r="J9" i="15"/>
  <c r="K9" i="15"/>
  <c r="L9" i="15"/>
  <c r="M9" i="15"/>
  <c r="E9" i="15"/>
  <c r="D21" i="15"/>
  <c r="D9" i="15"/>
  <c r="B191" i="15"/>
  <c r="N3" i="16"/>
  <c r="M3" i="16"/>
  <c r="L3" i="16"/>
  <c r="K3" i="16"/>
  <c r="J3" i="16"/>
  <c r="I3" i="16"/>
  <c r="H3" i="16"/>
  <c r="G3" i="16"/>
  <c r="F3" i="16"/>
  <c r="D3" i="16"/>
  <c r="E3" i="16"/>
  <c r="C171" i="15"/>
  <c r="C172" i="15"/>
  <c r="C173" i="15"/>
  <c r="C174" i="15"/>
  <c r="C170" i="15"/>
  <c r="C182" i="15"/>
  <c r="C183" i="15"/>
  <c r="C184" i="15"/>
  <c r="C185" i="15"/>
  <c r="C186" i="15"/>
  <c r="C181" i="15"/>
  <c r="C163" i="15"/>
  <c r="C162" i="15"/>
  <c r="C161" i="15"/>
  <c r="C160" i="15"/>
  <c r="C159" i="15"/>
  <c r="C158" i="15"/>
  <c r="C147" i="15"/>
  <c r="C151" i="15"/>
  <c r="C150" i="15"/>
  <c r="C149" i="15"/>
  <c r="C148" i="15"/>
  <c r="C124" i="15"/>
  <c r="C125" i="15"/>
  <c r="C126" i="15"/>
  <c r="C127" i="15"/>
  <c r="C123" i="15"/>
  <c r="C115" i="15"/>
  <c r="C114" i="15"/>
  <c r="C113" i="15"/>
  <c r="C112" i="15"/>
  <c r="C111" i="15"/>
  <c r="C110" i="15"/>
  <c r="C103" i="15"/>
  <c r="C102" i="15"/>
  <c r="C101" i="15"/>
  <c r="C100" i="15"/>
  <c r="C99" i="15"/>
  <c r="C92" i="15"/>
  <c r="C91" i="15"/>
  <c r="C90" i="15"/>
  <c r="C89" i="15"/>
  <c r="C88" i="15"/>
  <c r="C87" i="15"/>
  <c r="C80" i="15"/>
  <c r="C79" i="15"/>
  <c r="C78" i="15"/>
  <c r="C77" i="15"/>
  <c r="C76" i="15"/>
  <c r="C68" i="15"/>
  <c r="C67" i="15"/>
  <c r="C66" i="15"/>
  <c r="C65" i="15"/>
  <c r="C64" i="15"/>
  <c r="C63" i="15"/>
  <c r="C56" i="15"/>
  <c r="C55" i="15"/>
  <c r="C54" i="15"/>
  <c r="C53" i="15"/>
  <c r="C52" i="15"/>
  <c r="C44" i="15"/>
  <c r="C43" i="15"/>
  <c r="C42" i="15"/>
  <c r="C41" i="15"/>
  <c r="C40" i="15"/>
  <c r="C39" i="15"/>
  <c r="C32" i="15"/>
  <c r="C31" i="15"/>
  <c r="C30" i="15"/>
  <c r="C29" i="15"/>
  <c r="C28" i="15"/>
  <c r="C16" i="15"/>
  <c r="C17" i="15"/>
  <c r="C18" i="15"/>
  <c r="C19" i="15"/>
  <c r="C20" i="15"/>
  <c r="C15" i="15"/>
  <c r="C5" i="15"/>
  <c r="C6" i="15"/>
  <c r="C7" i="15"/>
  <c r="C8" i="15"/>
  <c r="C4" i="15"/>
  <c r="C139" i="15"/>
  <c r="C138" i="15"/>
  <c r="C137" i="15"/>
  <c r="C136" i="15"/>
  <c r="C135" i="15"/>
  <c r="C134" i="15"/>
  <c r="D14" i="1"/>
  <c r="D17" i="1" s="1"/>
  <c r="E14" i="1"/>
  <c r="F14" i="1"/>
  <c r="F17" i="1" s="1"/>
  <c r="G14" i="1"/>
  <c r="G17" i="1" s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C14" i="1"/>
  <c r="D20" i="1" l="1"/>
  <c r="O4" i="2"/>
  <c r="O46" i="2"/>
  <c r="O3" i="2"/>
  <c r="Q3" i="2" s="1"/>
  <c r="AH14" i="1"/>
  <c r="AI14" i="1" s="1"/>
  <c r="E17" i="1"/>
  <c r="C152" i="15"/>
  <c r="C164" i="15"/>
  <c r="C116" i="15"/>
  <c r="C104" i="15"/>
  <c r="C93" i="15"/>
  <c r="C81" i="15"/>
  <c r="C69" i="15"/>
  <c r="C57" i="15"/>
  <c r="C33" i="15"/>
  <c r="C45" i="15"/>
  <c r="C21" i="15"/>
  <c r="C9" i="15"/>
  <c r="C140" i="15"/>
  <c r="C128" i="15"/>
  <c r="C187" i="15"/>
  <c r="C175" i="15"/>
</calcChain>
</file>

<file path=xl/sharedStrings.xml><?xml version="1.0" encoding="utf-8"?>
<sst xmlns="http://schemas.openxmlformats.org/spreadsheetml/2006/main" count="515" uniqueCount="119">
  <si>
    <t>Visitadurias</t>
  </si>
  <si>
    <t>Septiembre-Diciembre 2017</t>
  </si>
  <si>
    <t>Enero-Marzo 2018</t>
  </si>
  <si>
    <t>Abril-Junio 2018</t>
  </si>
  <si>
    <t>Julio-Septiembre 2018</t>
  </si>
  <si>
    <t>Octubre-Diciembre 2018</t>
  </si>
  <si>
    <t>Enero-Marzo 2019</t>
  </si>
  <si>
    <t>Abril-Junio 2019</t>
  </si>
  <si>
    <t>Julio-Septiembre 2019</t>
  </si>
  <si>
    <t>Octubre-Diciembre 2019</t>
  </si>
  <si>
    <t>Enero-Marzo 2020</t>
  </si>
  <si>
    <t>Abril-Junio 2020</t>
  </si>
  <si>
    <t>Julio-Septiembre 2020</t>
  </si>
  <si>
    <t>Octubre-Diciembre 2020</t>
  </si>
  <si>
    <t>Enero-Marzo 2021</t>
  </si>
  <si>
    <t>Abril-Junio 2021</t>
  </si>
  <si>
    <t>Julio-Septiembre 2021</t>
  </si>
  <si>
    <t>Octubre-Diciembre 2021</t>
  </si>
  <si>
    <t>Enero-Marzo 2022</t>
  </si>
  <si>
    <t>Abril-Junio 2022</t>
  </si>
  <si>
    <t>Julio-Septiembre 2022</t>
  </si>
  <si>
    <t>Octubre-Diciembre 2022</t>
  </si>
  <si>
    <t>Enero-Marzo 2023</t>
  </si>
  <si>
    <t>Abril-Junio 2023</t>
  </si>
  <si>
    <t>Julio-Septiembre 2023</t>
  </si>
  <si>
    <t>Octubre-Diciembre 2023</t>
  </si>
  <si>
    <t>Enero-Marzo 2024</t>
  </si>
  <si>
    <t>Abril-Junio 2024</t>
  </si>
  <si>
    <t>Julio-Septiembre 2024</t>
  </si>
  <si>
    <t>Octubre-Diciembre 2024</t>
  </si>
  <si>
    <t>Enero-Marzo 2025</t>
  </si>
  <si>
    <t>Abril-Junio 2025</t>
  </si>
  <si>
    <t>Comision Nacional de los Derechos Humanos</t>
  </si>
  <si>
    <t>Primera Visitaduria General</t>
  </si>
  <si>
    <t>Tercer Visitaduria General</t>
  </si>
  <si>
    <t>Cuarta Visitaduria General</t>
  </si>
  <si>
    <t>Quinta Visitaduria General</t>
  </si>
  <si>
    <t xml:space="preserve">Sexta Visitaduria General </t>
  </si>
  <si>
    <t>Visitaduria Fresnillo</t>
  </si>
  <si>
    <t>Visitaduria Jalpa</t>
  </si>
  <si>
    <t>Visitaduria Loreto</t>
  </si>
  <si>
    <t>Visitaduria Jerez</t>
  </si>
  <si>
    <t>Visitaduria Rio Grande</t>
  </si>
  <si>
    <t>Trimestres</t>
  </si>
  <si>
    <t>Enero-Marzo</t>
  </si>
  <si>
    <t>Abril - Junio</t>
  </si>
  <si>
    <t>Julio - Septiembre</t>
  </si>
  <si>
    <t>Octubre - Diciembre</t>
  </si>
  <si>
    <t>Aleatorio</t>
  </si>
  <si>
    <t>CNDH</t>
  </si>
  <si>
    <t>1era Visitaduria</t>
  </si>
  <si>
    <t>3era Visitaduria</t>
  </si>
  <si>
    <t>5ta Visitaduria</t>
  </si>
  <si>
    <t>4ta Visitaduria</t>
  </si>
  <si>
    <t>6ta Visitaduria</t>
  </si>
  <si>
    <t xml:space="preserve">Fresnillo </t>
  </si>
  <si>
    <t>Jalpa</t>
  </si>
  <si>
    <t>Loreto</t>
  </si>
  <si>
    <t>Jerez</t>
  </si>
  <si>
    <t>Rio Grande</t>
  </si>
  <si>
    <t>Visitaduria</t>
  </si>
  <si>
    <t xml:space="preserve">Resoluciones </t>
  </si>
  <si>
    <t>Incompetencia</t>
  </si>
  <si>
    <t>Desestimiento</t>
  </si>
  <si>
    <t>Falta de interes</t>
  </si>
  <si>
    <t>Conciliaciones</t>
  </si>
  <si>
    <t xml:space="preserve">Solucionados durante el tramite </t>
  </si>
  <si>
    <t>Acuerdo de NO responsabilidad</t>
  </si>
  <si>
    <t>Recomendaciones</t>
  </si>
  <si>
    <t>Falta de Materia</t>
  </si>
  <si>
    <t>Improcedentes</t>
  </si>
  <si>
    <t xml:space="preserve">Allaneamiento </t>
  </si>
  <si>
    <t xml:space="preserve">Primera Visitaduria </t>
  </si>
  <si>
    <t>Tercera</t>
  </si>
  <si>
    <t>Cuarta</t>
  </si>
  <si>
    <t>Quinta</t>
  </si>
  <si>
    <t>Sexta</t>
  </si>
  <si>
    <t>Fresnillo</t>
  </si>
  <si>
    <t>Sombrerete</t>
  </si>
  <si>
    <t xml:space="preserve">Loreto </t>
  </si>
  <si>
    <t>Tipos de Resoluciones Emitidas Visitadurias Regionales en 2024</t>
  </si>
  <si>
    <t>Tipos de Resoluciones Emitidas Visitadurias Generales en 2024</t>
  </si>
  <si>
    <t>Tipos de Resoluciones Emitidas Visitadurias Generales en 2022</t>
  </si>
  <si>
    <t>Tipos de Resoluciones Emitidas Visitadurias Regionales en 2022</t>
  </si>
  <si>
    <t>1`</t>
  </si>
  <si>
    <t>Tipos de Resoluciones Emitidas Visitadurias Generales en 2017</t>
  </si>
  <si>
    <t>Tipos de Resoluciones Emitidas Visitadurias Regionales en 2017</t>
  </si>
  <si>
    <t>Tipos de Resoluciones Emitidas Visitadurias Generales en 2018</t>
  </si>
  <si>
    <t>Tipos de Resoluciones Emitidas Visitadurias Regionales en 2018</t>
  </si>
  <si>
    <t>Tipos de Resoluciones Emitidas Visitadurias Generales en 2019</t>
  </si>
  <si>
    <t>Tipos de Resoluciones Emitidas Visitadurias Regionales en 2019</t>
  </si>
  <si>
    <t>Tipos de Resoluciones Emitidas Visitadurias Generales en 2020</t>
  </si>
  <si>
    <t>Tipos de Resoluciones Emitidas Visitadurias Regionales en 2020</t>
  </si>
  <si>
    <t>Tipos de Resoluciones Emitidas Visitadurias Generales en 2021</t>
  </si>
  <si>
    <t>Tipos de Resoluciones Emitidas Visitadurias Regionales en 2021</t>
  </si>
  <si>
    <t>Tipos de Resoluciones Emitidas Visitadurias Generales en 2023</t>
  </si>
  <si>
    <t>Tipos de Resoluciones Emitidas Visitadurias Regionales en 2023</t>
  </si>
  <si>
    <t>Improcedencias</t>
  </si>
  <si>
    <t xml:space="preserve">Primera </t>
  </si>
  <si>
    <t>Primera</t>
  </si>
  <si>
    <t xml:space="preserve"> </t>
  </si>
  <si>
    <t>Prob Tipos de Resoluciones</t>
  </si>
  <si>
    <t>Resoluciones totales</t>
  </si>
  <si>
    <t>Media Resoluciones</t>
  </si>
  <si>
    <t>Otros</t>
  </si>
  <si>
    <t>Entradas trimestres 1</t>
  </si>
  <si>
    <t>Entradas trimestre 2</t>
  </si>
  <si>
    <t>Entradas trimestre 3</t>
  </si>
  <si>
    <t>Entradas trimestre 4</t>
  </si>
  <si>
    <t>entrada anio</t>
  </si>
  <si>
    <t>CNDH Trimestres</t>
  </si>
  <si>
    <t>Abril-Junio</t>
  </si>
  <si>
    <t>Julio-Septiembre</t>
  </si>
  <si>
    <t>Octubre-Diciembre</t>
  </si>
  <si>
    <t>Primera visitaduria</t>
  </si>
  <si>
    <t>Tercera visitaduria</t>
  </si>
  <si>
    <t xml:space="preserve">Cuarta visitaduria </t>
  </si>
  <si>
    <t>Quinta Visitaduria</t>
  </si>
  <si>
    <t>Sexta Visitaduria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</si>
</sst>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EAC3-825E-430C-98DD-771EE3482698}">
  <dimension ref="B2:AI47"/>
  <sheetViews>
    <sheetView tabSelected="1" topLeftCell="Q1" zoomScale="89" zoomScaleNormal="60" workbookViewId="0">
      <selection activeCell="AE24" sqref="AE24"/>
    </sheetView>
  </sheetViews>
  <sheetFormatPr baseColWidth="10" defaultColWidth="9.140625" defaultRowHeight="15" x14ac:dyDescent="0.25"/>
  <cols>
    <col min="2" max="2" width="38.7109375" bestFit="1" customWidth="1"/>
    <col min="3" max="3" width="23.7109375" bestFit="1" customWidth="1"/>
    <col min="4" max="4" width="18.28515625" bestFit="1" customWidth="1"/>
    <col min="5" max="5" width="17.42578125" bestFit="1" customWidth="1"/>
    <col min="6" max="6" width="18.85546875" bestFit="1" customWidth="1"/>
    <col min="7" max="7" width="21.140625" bestFit="1" customWidth="1"/>
    <col min="8" max="8" width="15.42578125" bestFit="1" customWidth="1"/>
    <col min="9" max="9" width="13.5703125" bestFit="1" customWidth="1"/>
    <col min="10" max="10" width="18.85546875" bestFit="1" customWidth="1"/>
    <col min="11" max="11" width="21.140625" bestFit="1" customWidth="1"/>
    <col min="12" max="12" width="15.42578125" bestFit="1" customWidth="1"/>
    <col min="13" max="13" width="13.5703125" bestFit="1" customWidth="1"/>
    <col min="14" max="14" width="18.85546875" bestFit="1" customWidth="1"/>
    <col min="15" max="15" width="21.140625" bestFit="1" customWidth="1"/>
    <col min="16" max="16" width="15.42578125" bestFit="1" customWidth="1"/>
    <col min="17" max="17" width="13.5703125" bestFit="1" customWidth="1"/>
    <col min="18" max="18" width="18.85546875" bestFit="1" customWidth="1"/>
    <col min="19" max="19" width="21.140625" bestFit="1" customWidth="1"/>
    <col min="20" max="20" width="15.42578125" bestFit="1" customWidth="1"/>
    <col min="21" max="21" width="13.5703125" bestFit="1" customWidth="1"/>
    <col min="22" max="22" width="18.85546875" bestFit="1" customWidth="1"/>
    <col min="23" max="23" width="21.140625" bestFit="1" customWidth="1"/>
    <col min="24" max="24" width="15.42578125" bestFit="1" customWidth="1"/>
    <col min="25" max="25" width="13.5703125" bestFit="1" customWidth="1"/>
    <col min="26" max="26" width="18.85546875" bestFit="1" customWidth="1"/>
    <col min="27" max="27" width="21.140625" bestFit="1" customWidth="1"/>
    <col min="28" max="28" width="15.42578125" bestFit="1" customWidth="1"/>
    <col min="29" max="29" width="13.5703125" bestFit="1" customWidth="1"/>
    <col min="30" max="30" width="18.85546875" bestFit="1" customWidth="1"/>
    <col min="31" max="31" width="21.140625" bestFit="1" customWidth="1"/>
    <col min="32" max="32" width="15.42578125" bestFit="1" customWidth="1"/>
    <col min="33" max="33" width="13.5703125" bestFit="1" customWidth="1"/>
  </cols>
  <sheetData>
    <row r="2" spans="2:3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2" t="s">
        <v>8</v>
      </c>
      <c r="K2" s="4" t="s">
        <v>9</v>
      </c>
      <c r="L2" s="2" t="s">
        <v>10</v>
      </c>
      <c r="M2" s="4" t="s">
        <v>11</v>
      </c>
      <c r="N2" s="2" t="s">
        <v>12</v>
      </c>
      <c r="O2" s="5" t="s">
        <v>13</v>
      </c>
      <c r="P2" s="2" t="s">
        <v>14</v>
      </c>
      <c r="Q2" s="4" t="s">
        <v>15</v>
      </c>
      <c r="R2" s="2" t="s">
        <v>16</v>
      </c>
      <c r="S2" s="5" t="s">
        <v>17</v>
      </c>
      <c r="T2" s="2" t="s">
        <v>18</v>
      </c>
      <c r="U2" s="2" t="s">
        <v>19</v>
      </c>
      <c r="V2" s="2" t="s">
        <v>20</v>
      </c>
      <c r="W2" s="5" t="s">
        <v>21</v>
      </c>
      <c r="X2" s="2" t="s">
        <v>22</v>
      </c>
      <c r="Y2" s="2" t="s">
        <v>23</v>
      </c>
      <c r="Z2" s="2" t="s">
        <v>24</v>
      </c>
      <c r="AA2" s="5" t="s">
        <v>25</v>
      </c>
      <c r="AB2" s="2" t="s">
        <v>26</v>
      </c>
      <c r="AC2" s="2" t="s">
        <v>27</v>
      </c>
      <c r="AD2" s="2" t="s">
        <v>28</v>
      </c>
      <c r="AE2" s="5" t="s">
        <v>29</v>
      </c>
      <c r="AF2" s="2" t="s">
        <v>30</v>
      </c>
      <c r="AG2" s="2" t="s">
        <v>31</v>
      </c>
    </row>
    <row r="3" spans="2:35" x14ac:dyDescent="0.25">
      <c r="B3" s="6" t="s">
        <v>32</v>
      </c>
      <c r="C3" s="2">
        <v>30</v>
      </c>
      <c r="D3" s="2">
        <v>14</v>
      </c>
      <c r="E3" s="2">
        <v>14</v>
      </c>
      <c r="F3" s="2">
        <v>19</v>
      </c>
      <c r="G3" s="2">
        <v>14</v>
      </c>
      <c r="H3" s="2">
        <v>13</v>
      </c>
      <c r="I3" s="3">
        <v>16</v>
      </c>
      <c r="J3" s="2">
        <v>19</v>
      </c>
      <c r="K3" s="2">
        <v>23</v>
      </c>
      <c r="L3" s="2">
        <v>12</v>
      </c>
      <c r="M3" s="2">
        <v>7</v>
      </c>
      <c r="N3" s="2">
        <v>17</v>
      </c>
      <c r="O3" s="2">
        <v>16</v>
      </c>
      <c r="P3" s="2">
        <v>28</v>
      </c>
      <c r="Q3" s="2">
        <v>12</v>
      </c>
      <c r="R3" s="2">
        <v>21</v>
      </c>
      <c r="S3" s="2">
        <v>14</v>
      </c>
      <c r="T3" s="2">
        <v>37</v>
      </c>
      <c r="U3" s="2">
        <v>18</v>
      </c>
      <c r="V3" s="2">
        <v>19</v>
      </c>
      <c r="W3" s="2">
        <v>11</v>
      </c>
      <c r="X3" s="2">
        <v>12</v>
      </c>
      <c r="Y3" s="2">
        <v>32</v>
      </c>
      <c r="Z3" s="2">
        <v>17</v>
      </c>
      <c r="AA3" s="2">
        <v>24</v>
      </c>
      <c r="AB3" s="2">
        <v>27</v>
      </c>
      <c r="AC3" s="2">
        <v>15</v>
      </c>
      <c r="AD3" s="2">
        <v>22</v>
      </c>
      <c r="AE3" s="2">
        <v>18</v>
      </c>
      <c r="AF3" s="2">
        <v>0</v>
      </c>
      <c r="AG3" s="2">
        <v>0</v>
      </c>
    </row>
    <row r="4" spans="2:35" x14ac:dyDescent="0.25">
      <c r="B4" s="6" t="s">
        <v>33</v>
      </c>
      <c r="C4" s="35">
        <v>23</v>
      </c>
      <c r="D4" s="35">
        <v>23</v>
      </c>
      <c r="E4" s="35">
        <v>23</v>
      </c>
      <c r="F4" s="35">
        <v>7</v>
      </c>
      <c r="G4" s="35">
        <v>8</v>
      </c>
      <c r="H4" s="35">
        <v>13</v>
      </c>
      <c r="I4" s="36">
        <v>17</v>
      </c>
      <c r="J4" s="35">
        <v>16</v>
      </c>
      <c r="K4" s="35">
        <v>18</v>
      </c>
      <c r="L4" s="35">
        <v>17</v>
      </c>
      <c r="M4" s="35">
        <v>12</v>
      </c>
      <c r="N4" s="35">
        <v>15</v>
      </c>
      <c r="O4" s="35">
        <v>19</v>
      </c>
      <c r="P4" s="2">
        <v>14</v>
      </c>
      <c r="Q4" s="2">
        <v>19</v>
      </c>
      <c r="R4" s="2">
        <v>13</v>
      </c>
      <c r="S4" s="2">
        <v>13</v>
      </c>
      <c r="T4" s="2">
        <v>21</v>
      </c>
      <c r="U4" s="2">
        <v>19</v>
      </c>
      <c r="V4" s="2">
        <v>21</v>
      </c>
      <c r="W4" s="2">
        <v>21</v>
      </c>
      <c r="X4" s="2">
        <v>19</v>
      </c>
      <c r="Y4" s="2">
        <v>15</v>
      </c>
      <c r="Z4" s="2">
        <v>27</v>
      </c>
      <c r="AA4" s="2">
        <v>22</v>
      </c>
      <c r="AB4" s="2">
        <v>18</v>
      </c>
      <c r="AC4" s="2">
        <v>28</v>
      </c>
      <c r="AD4" s="2">
        <v>24</v>
      </c>
      <c r="AE4" s="2">
        <v>26</v>
      </c>
      <c r="AF4" s="2">
        <v>28</v>
      </c>
      <c r="AG4" s="2">
        <v>34</v>
      </c>
    </row>
    <row r="5" spans="2:35" x14ac:dyDescent="0.25">
      <c r="B5" s="6" t="s">
        <v>34</v>
      </c>
      <c r="C5" s="37">
        <v>22</v>
      </c>
      <c r="D5" s="37">
        <v>22</v>
      </c>
      <c r="E5" s="37">
        <v>22</v>
      </c>
      <c r="F5" s="37">
        <v>22</v>
      </c>
      <c r="G5" s="37">
        <v>22</v>
      </c>
      <c r="H5" s="37">
        <v>22</v>
      </c>
      <c r="I5" s="37">
        <v>22</v>
      </c>
      <c r="J5" s="37">
        <v>22</v>
      </c>
      <c r="K5" s="37">
        <v>22</v>
      </c>
      <c r="L5" s="37">
        <v>22</v>
      </c>
      <c r="M5" s="37">
        <v>22</v>
      </c>
      <c r="N5" s="37">
        <v>22</v>
      </c>
      <c r="O5" s="2">
        <v>19</v>
      </c>
      <c r="P5" s="2">
        <v>18</v>
      </c>
      <c r="Q5" s="2">
        <v>21</v>
      </c>
      <c r="R5" s="2">
        <v>19</v>
      </c>
      <c r="S5" s="2">
        <v>39</v>
      </c>
      <c r="T5" s="2">
        <v>29</v>
      </c>
      <c r="U5" s="2">
        <v>40</v>
      </c>
      <c r="V5" s="2">
        <v>28</v>
      </c>
      <c r="W5" s="2">
        <v>26</v>
      </c>
      <c r="X5" s="2">
        <v>25</v>
      </c>
      <c r="Y5" s="2">
        <v>37</v>
      </c>
      <c r="Z5" s="2">
        <v>32</v>
      </c>
      <c r="AA5" s="2">
        <v>29</v>
      </c>
      <c r="AB5" s="2">
        <v>32</v>
      </c>
      <c r="AC5" s="2">
        <v>40</v>
      </c>
      <c r="AD5" s="2">
        <v>27</v>
      </c>
      <c r="AE5" s="2">
        <v>38</v>
      </c>
      <c r="AF5" s="2">
        <v>27</v>
      </c>
      <c r="AG5" s="2">
        <v>34</v>
      </c>
    </row>
    <row r="6" spans="2:35" x14ac:dyDescent="0.25">
      <c r="B6" s="6" t="s">
        <v>35</v>
      </c>
      <c r="C6" s="38">
        <v>22</v>
      </c>
      <c r="D6" s="2">
        <v>15</v>
      </c>
      <c r="E6" s="2">
        <v>22</v>
      </c>
      <c r="F6" s="2">
        <v>23</v>
      </c>
      <c r="G6" s="2">
        <v>11</v>
      </c>
      <c r="H6" s="2">
        <v>13</v>
      </c>
      <c r="I6" s="3">
        <v>17</v>
      </c>
      <c r="J6" s="2">
        <v>21</v>
      </c>
      <c r="K6" s="2">
        <v>21</v>
      </c>
      <c r="L6" s="2">
        <v>18</v>
      </c>
      <c r="M6" s="2">
        <v>9</v>
      </c>
      <c r="N6" s="2">
        <v>15</v>
      </c>
      <c r="O6" s="2">
        <v>16</v>
      </c>
      <c r="P6" s="2">
        <v>20</v>
      </c>
      <c r="Q6" s="2">
        <v>15</v>
      </c>
      <c r="R6" s="2">
        <v>13</v>
      </c>
      <c r="S6" s="2">
        <v>17</v>
      </c>
      <c r="T6" s="2">
        <v>21</v>
      </c>
      <c r="U6" s="2">
        <v>22</v>
      </c>
      <c r="V6" s="2">
        <v>24</v>
      </c>
      <c r="W6" s="2">
        <v>27</v>
      </c>
      <c r="X6" s="2">
        <v>22</v>
      </c>
      <c r="Y6" s="2">
        <v>26</v>
      </c>
      <c r="Z6" s="2">
        <v>23</v>
      </c>
      <c r="AA6" s="2">
        <v>26</v>
      </c>
      <c r="AB6" s="2">
        <v>16</v>
      </c>
      <c r="AC6" s="2">
        <v>22</v>
      </c>
      <c r="AD6" s="2">
        <v>28</v>
      </c>
      <c r="AE6" s="2">
        <v>23</v>
      </c>
      <c r="AF6" s="2">
        <v>28</v>
      </c>
      <c r="AG6" s="2">
        <v>34</v>
      </c>
    </row>
    <row r="7" spans="2:35" x14ac:dyDescent="0.25">
      <c r="B7" s="6" t="s">
        <v>36</v>
      </c>
      <c r="C7" s="2">
        <v>0</v>
      </c>
      <c r="D7" s="2">
        <v>0</v>
      </c>
      <c r="E7" s="2">
        <v>0</v>
      </c>
      <c r="F7" s="2">
        <v>21</v>
      </c>
      <c r="G7" s="2">
        <v>14</v>
      </c>
      <c r="H7" s="2">
        <v>12</v>
      </c>
      <c r="I7" s="3">
        <v>21</v>
      </c>
      <c r="J7" s="2">
        <v>17</v>
      </c>
      <c r="K7" s="2">
        <v>27</v>
      </c>
      <c r="L7" s="2">
        <v>16</v>
      </c>
      <c r="M7" s="2">
        <v>11</v>
      </c>
      <c r="N7" s="2">
        <v>14</v>
      </c>
      <c r="O7" s="2">
        <v>17</v>
      </c>
      <c r="P7" s="2">
        <v>18</v>
      </c>
      <c r="Q7" s="2">
        <v>18</v>
      </c>
      <c r="R7" s="2">
        <v>11</v>
      </c>
      <c r="S7" s="2">
        <v>15</v>
      </c>
      <c r="T7" s="2">
        <v>21</v>
      </c>
      <c r="U7" s="2">
        <v>35</v>
      </c>
      <c r="V7" s="2">
        <v>29</v>
      </c>
      <c r="W7" s="2">
        <v>24</v>
      </c>
      <c r="X7" s="2">
        <v>30</v>
      </c>
      <c r="Y7" s="2">
        <v>34</v>
      </c>
      <c r="Z7" s="2">
        <v>18</v>
      </c>
      <c r="AA7" s="2">
        <v>26</v>
      </c>
      <c r="AB7" s="2">
        <v>20</v>
      </c>
      <c r="AC7" s="2">
        <v>32</v>
      </c>
      <c r="AD7" s="2">
        <v>27</v>
      </c>
      <c r="AE7" s="2">
        <v>31</v>
      </c>
      <c r="AF7" s="2">
        <v>33</v>
      </c>
      <c r="AG7" s="2">
        <v>29</v>
      </c>
    </row>
    <row r="8" spans="2:35" x14ac:dyDescent="0.25">
      <c r="B8" s="6" t="s">
        <v>37</v>
      </c>
      <c r="C8" s="2">
        <v>0</v>
      </c>
      <c r="D8" s="2">
        <v>0</v>
      </c>
      <c r="E8" s="2">
        <v>0</v>
      </c>
      <c r="F8" s="2">
        <v>11</v>
      </c>
      <c r="G8" s="2">
        <v>9</v>
      </c>
      <c r="H8" s="2">
        <v>11</v>
      </c>
      <c r="I8" s="3">
        <v>17</v>
      </c>
      <c r="J8" s="2">
        <v>17</v>
      </c>
      <c r="K8" s="2">
        <v>23</v>
      </c>
      <c r="L8" s="2">
        <v>21</v>
      </c>
      <c r="M8" s="2">
        <v>8</v>
      </c>
      <c r="N8" s="2">
        <v>18</v>
      </c>
      <c r="O8" s="2">
        <v>16</v>
      </c>
      <c r="P8" s="2">
        <v>15</v>
      </c>
      <c r="Q8" s="2">
        <v>22</v>
      </c>
      <c r="R8" s="2">
        <v>13</v>
      </c>
      <c r="S8" s="2">
        <v>16</v>
      </c>
      <c r="T8" s="2">
        <v>21</v>
      </c>
      <c r="U8" s="2">
        <v>25</v>
      </c>
      <c r="V8" s="2">
        <v>23</v>
      </c>
      <c r="W8" s="2">
        <v>23</v>
      </c>
      <c r="X8" s="2">
        <v>25</v>
      </c>
      <c r="Y8" s="2">
        <v>26</v>
      </c>
      <c r="Z8" s="2">
        <v>26</v>
      </c>
      <c r="AA8" s="2">
        <v>27</v>
      </c>
      <c r="AB8" s="2">
        <v>29</v>
      </c>
      <c r="AC8" s="2">
        <v>21</v>
      </c>
      <c r="AD8" s="2">
        <v>23</v>
      </c>
      <c r="AE8" s="2">
        <v>29</v>
      </c>
      <c r="AF8" s="2">
        <v>27</v>
      </c>
      <c r="AG8" s="2">
        <v>34</v>
      </c>
    </row>
    <row r="9" spans="2:35" x14ac:dyDescent="0.25">
      <c r="B9" s="6" t="s">
        <v>38</v>
      </c>
      <c r="C9" s="2">
        <v>20</v>
      </c>
      <c r="D9" s="2">
        <v>14</v>
      </c>
      <c r="E9" s="2">
        <v>22</v>
      </c>
      <c r="F9" s="2">
        <v>14</v>
      </c>
      <c r="G9" s="2">
        <v>21</v>
      </c>
      <c r="H9" s="2">
        <v>16</v>
      </c>
      <c r="I9" s="3">
        <v>18</v>
      </c>
      <c r="J9" s="2">
        <v>21</v>
      </c>
      <c r="K9" s="2">
        <v>13</v>
      </c>
      <c r="L9" s="2">
        <v>22</v>
      </c>
      <c r="M9" s="2">
        <v>12</v>
      </c>
      <c r="N9" s="2">
        <v>17</v>
      </c>
      <c r="O9" s="2">
        <v>17</v>
      </c>
      <c r="P9" s="2">
        <v>22</v>
      </c>
      <c r="Q9" s="2">
        <v>10</v>
      </c>
      <c r="R9" s="2">
        <v>10</v>
      </c>
      <c r="S9" s="2">
        <v>9</v>
      </c>
      <c r="T9" s="2">
        <v>17</v>
      </c>
      <c r="U9" s="2">
        <v>26</v>
      </c>
      <c r="V9" s="2">
        <v>15</v>
      </c>
      <c r="W9" s="2">
        <v>11</v>
      </c>
      <c r="X9" s="2">
        <v>8</v>
      </c>
      <c r="Y9" s="2">
        <v>23</v>
      </c>
      <c r="Z9" s="2">
        <v>10</v>
      </c>
      <c r="AA9" s="2">
        <v>8</v>
      </c>
      <c r="AB9" s="2">
        <v>19</v>
      </c>
      <c r="AC9" s="2">
        <v>12</v>
      </c>
      <c r="AD9" s="2">
        <v>14</v>
      </c>
      <c r="AE9" s="2">
        <v>18</v>
      </c>
      <c r="AF9" s="2">
        <v>25</v>
      </c>
      <c r="AG9" s="2">
        <v>31</v>
      </c>
    </row>
    <row r="10" spans="2:35" x14ac:dyDescent="0.25">
      <c r="B10" s="6" t="s">
        <v>39</v>
      </c>
      <c r="C10" s="2">
        <v>11</v>
      </c>
      <c r="D10" s="2">
        <v>4</v>
      </c>
      <c r="E10" s="2">
        <v>3</v>
      </c>
      <c r="F10" s="2">
        <v>4</v>
      </c>
      <c r="G10" s="2">
        <v>2</v>
      </c>
      <c r="H10" s="2">
        <v>7</v>
      </c>
      <c r="I10" s="3">
        <v>3</v>
      </c>
      <c r="J10" s="2">
        <v>4</v>
      </c>
      <c r="K10" s="2">
        <v>5</v>
      </c>
      <c r="L10" s="2">
        <v>2</v>
      </c>
      <c r="M10" s="2">
        <v>3</v>
      </c>
      <c r="N10" s="2">
        <v>6</v>
      </c>
      <c r="O10" s="2">
        <v>5</v>
      </c>
      <c r="P10" s="2">
        <v>7</v>
      </c>
      <c r="Q10" s="2">
        <v>10</v>
      </c>
      <c r="R10" s="2">
        <v>2</v>
      </c>
      <c r="S10" s="2">
        <v>7</v>
      </c>
      <c r="T10" s="2">
        <v>8</v>
      </c>
      <c r="U10" s="2">
        <v>4</v>
      </c>
      <c r="V10" s="2">
        <v>8</v>
      </c>
      <c r="W10" s="2">
        <v>5</v>
      </c>
      <c r="X10" s="2">
        <v>4</v>
      </c>
      <c r="Y10" s="2">
        <v>2</v>
      </c>
      <c r="Z10" s="2">
        <v>5</v>
      </c>
      <c r="AA10" s="2">
        <v>10</v>
      </c>
      <c r="AB10" s="2">
        <v>5</v>
      </c>
      <c r="AC10" s="2">
        <v>9</v>
      </c>
      <c r="AD10" s="2">
        <v>5</v>
      </c>
      <c r="AE10" s="2">
        <v>3</v>
      </c>
      <c r="AF10" s="2">
        <v>5</v>
      </c>
      <c r="AG10" s="2">
        <v>12</v>
      </c>
    </row>
    <row r="11" spans="2:35" x14ac:dyDescent="0.25">
      <c r="B11" s="6" t="s">
        <v>40</v>
      </c>
      <c r="C11" s="2">
        <v>10</v>
      </c>
      <c r="D11" s="2">
        <v>4</v>
      </c>
      <c r="E11" s="2">
        <v>7</v>
      </c>
      <c r="F11" s="2">
        <v>2</v>
      </c>
      <c r="G11" s="2">
        <v>4</v>
      </c>
      <c r="H11" s="2">
        <v>3</v>
      </c>
      <c r="I11" s="3">
        <v>8</v>
      </c>
      <c r="J11" s="2">
        <v>3</v>
      </c>
      <c r="K11" s="2">
        <v>12</v>
      </c>
      <c r="L11" s="2">
        <v>7</v>
      </c>
      <c r="M11" s="2">
        <v>5</v>
      </c>
      <c r="N11" s="2">
        <v>4</v>
      </c>
      <c r="O11" s="2">
        <v>8</v>
      </c>
      <c r="P11" s="2">
        <v>7</v>
      </c>
      <c r="Q11" s="2">
        <v>10</v>
      </c>
      <c r="R11" s="2">
        <v>9</v>
      </c>
      <c r="S11" s="2">
        <v>5</v>
      </c>
      <c r="T11" s="2">
        <v>10</v>
      </c>
      <c r="U11" s="2">
        <v>9</v>
      </c>
      <c r="V11" s="2">
        <v>6</v>
      </c>
      <c r="W11" s="2">
        <v>5</v>
      </c>
      <c r="X11" s="2">
        <v>16</v>
      </c>
      <c r="Y11" s="2">
        <v>9</v>
      </c>
      <c r="Z11" s="2">
        <v>15</v>
      </c>
      <c r="AA11" s="2">
        <v>4</v>
      </c>
      <c r="AB11" s="2">
        <v>4</v>
      </c>
      <c r="AC11" s="2">
        <v>14</v>
      </c>
      <c r="AD11" s="2">
        <v>15</v>
      </c>
      <c r="AE11" s="2">
        <v>8</v>
      </c>
      <c r="AF11" s="2">
        <v>6</v>
      </c>
      <c r="AG11" s="2">
        <v>20</v>
      </c>
    </row>
    <row r="12" spans="2:35" x14ac:dyDescent="0.25">
      <c r="B12" s="6" t="s">
        <v>41</v>
      </c>
      <c r="C12" s="2">
        <v>9</v>
      </c>
      <c r="D12" s="2">
        <v>7</v>
      </c>
      <c r="E12" s="2">
        <v>8</v>
      </c>
      <c r="F12" s="2">
        <v>6</v>
      </c>
      <c r="G12" s="2">
        <v>10</v>
      </c>
      <c r="H12" s="2">
        <v>12</v>
      </c>
      <c r="I12" s="3">
        <v>8</v>
      </c>
      <c r="J12" s="2">
        <v>11</v>
      </c>
      <c r="K12" s="2">
        <v>9</v>
      </c>
      <c r="L12" s="2">
        <v>12</v>
      </c>
      <c r="M12" s="2">
        <v>5</v>
      </c>
      <c r="N12" s="2">
        <v>6</v>
      </c>
      <c r="O12" s="2">
        <v>1</v>
      </c>
      <c r="P12" s="2">
        <v>13</v>
      </c>
      <c r="Q12" s="2">
        <v>4</v>
      </c>
      <c r="R12" s="2">
        <v>4</v>
      </c>
      <c r="S12" s="2">
        <v>7</v>
      </c>
      <c r="T12" s="2">
        <v>7</v>
      </c>
      <c r="U12" s="2">
        <v>13</v>
      </c>
      <c r="V12" s="2">
        <v>9</v>
      </c>
      <c r="W12" s="2">
        <v>11</v>
      </c>
      <c r="X12" s="2">
        <v>5</v>
      </c>
      <c r="Y12" s="2">
        <v>18</v>
      </c>
      <c r="Z12" s="2">
        <v>13</v>
      </c>
      <c r="AA12" s="2">
        <v>14</v>
      </c>
      <c r="AB12" s="2">
        <v>10</v>
      </c>
      <c r="AC12" s="2">
        <v>10</v>
      </c>
      <c r="AD12" s="2">
        <v>9</v>
      </c>
      <c r="AE12" s="2">
        <v>20</v>
      </c>
      <c r="AF12" s="2">
        <v>15</v>
      </c>
      <c r="AG12" s="2">
        <v>25</v>
      </c>
    </row>
    <row r="13" spans="2:35" x14ac:dyDescent="0.25">
      <c r="B13" s="6" t="s">
        <v>42</v>
      </c>
      <c r="C13" s="2">
        <v>0</v>
      </c>
      <c r="D13" s="2">
        <v>1</v>
      </c>
      <c r="E13" s="2">
        <v>1</v>
      </c>
      <c r="F13" s="2">
        <v>5</v>
      </c>
      <c r="G13" s="2">
        <v>7</v>
      </c>
      <c r="H13" s="2">
        <v>3</v>
      </c>
      <c r="I13" s="2">
        <v>2</v>
      </c>
      <c r="J13" s="2">
        <v>5</v>
      </c>
      <c r="K13" s="2">
        <v>5</v>
      </c>
      <c r="L13" s="2">
        <v>10</v>
      </c>
      <c r="M13" s="2">
        <v>2</v>
      </c>
      <c r="N13" s="2">
        <v>5</v>
      </c>
      <c r="O13" s="2">
        <v>1</v>
      </c>
      <c r="P13" s="2">
        <v>6</v>
      </c>
      <c r="Q13" s="2">
        <v>5</v>
      </c>
      <c r="R13" s="2">
        <v>7</v>
      </c>
      <c r="S13" s="2">
        <v>5</v>
      </c>
      <c r="T13" s="2">
        <v>7</v>
      </c>
      <c r="U13" s="2">
        <v>3</v>
      </c>
      <c r="V13" s="2">
        <v>7</v>
      </c>
      <c r="W13" s="2">
        <v>9</v>
      </c>
      <c r="X13" s="2">
        <v>8</v>
      </c>
      <c r="Y13" s="2"/>
      <c r="Z13" s="2">
        <v>12</v>
      </c>
      <c r="AA13" s="2">
        <v>3</v>
      </c>
      <c r="AB13" s="2">
        <v>8</v>
      </c>
      <c r="AC13" s="2">
        <v>7</v>
      </c>
      <c r="AD13" s="2">
        <v>5</v>
      </c>
      <c r="AE13" s="2">
        <v>4</v>
      </c>
      <c r="AF13" s="2">
        <v>5</v>
      </c>
      <c r="AG13" s="2">
        <v>7</v>
      </c>
    </row>
    <row r="14" spans="2:35" x14ac:dyDescent="0.25">
      <c r="B14" s="8"/>
      <c r="C14" s="7">
        <f>SUM(C3:C13)</f>
        <v>147</v>
      </c>
      <c r="D14" s="7">
        <f t="shared" ref="D14:AG14" si="0">SUM(D3:D13)</f>
        <v>104</v>
      </c>
      <c r="E14" s="7">
        <f t="shared" si="0"/>
        <v>122</v>
      </c>
      <c r="F14" s="7">
        <f t="shared" si="0"/>
        <v>134</v>
      </c>
      <c r="G14" s="7">
        <f t="shared" si="0"/>
        <v>122</v>
      </c>
      <c r="H14" s="7">
        <f t="shared" si="0"/>
        <v>125</v>
      </c>
      <c r="I14" s="7">
        <f t="shared" si="0"/>
        <v>149</v>
      </c>
      <c r="J14" s="7">
        <f t="shared" si="0"/>
        <v>156</v>
      </c>
      <c r="K14" s="7">
        <f t="shared" si="0"/>
        <v>178</v>
      </c>
      <c r="L14" s="7">
        <f t="shared" si="0"/>
        <v>159</v>
      </c>
      <c r="M14" s="7">
        <f t="shared" si="0"/>
        <v>96</v>
      </c>
      <c r="N14" s="7">
        <f t="shared" si="0"/>
        <v>139</v>
      </c>
      <c r="O14" s="7">
        <f t="shared" si="0"/>
        <v>135</v>
      </c>
      <c r="P14" s="7">
        <f t="shared" si="0"/>
        <v>168</v>
      </c>
      <c r="Q14" s="7">
        <f t="shared" si="0"/>
        <v>146</v>
      </c>
      <c r="R14" s="7">
        <f t="shared" si="0"/>
        <v>122</v>
      </c>
      <c r="S14" s="7">
        <f t="shared" si="0"/>
        <v>147</v>
      </c>
      <c r="T14" s="7">
        <f t="shared" si="0"/>
        <v>199</v>
      </c>
      <c r="U14" s="7">
        <f t="shared" si="0"/>
        <v>214</v>
      </c>
      <c r="V14" s="7">
        <f t="shared" si="0"/>
        <v>189</v>
      </c>
      <c r="W14" s="7">
        <f t="shared" si="0"/>
        <v>173</v>
      </c>
      <c r="X14" s="7">
        <f t="shared" si="0"/>
        <v>174</v>
      </c>
      <c r="Y14" s="7">
        <f t="shared" si="0"/>
        <v>222</v>
      </c>
      <c r="Z14" s="7">
        <f t="shared" si="0"/>
        <v>198</v>
      </c>
      <c r="AA14" s="7">
        <f t="shared" si="0"/>
        <v>193</v>
      </c>
      <c r="AB14" s="7">
        <f t="shared" si="0"/>
        <v>188</v>
      </c>
      <c r="AC14" s="7">
        <f t="shared" si="0"/>
        <v>210</v>
      </c>
      <c r="AD14" s="7">
        <f t="shared" si="0"/>
        <v>199</v>
      </c>
      <c r="AE14" s="7">
        <f t="shared" si="0"/>
        <v>218</v>
      </c>
      <c r="AF14" s="7">
        <f t="shared" si="0"/>
        <v>199</v>
      </c>
      <c r="AG14" s="7">
        <f t="shared" si="0"/>
        <v>260</v>
      </c>
      <c r="AH14" s="17">
        <f>SUM(C14:AG14)</f>
        <v>5185</v>
      </c>
      <c r="AI14" s="17">
        <f>AH14/31</f>
        <v>167.25806451612902</v>
      </c>
    </row>
    <row r="15" spans="2:35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S15" s="8"/>
      <c r="T15" s="8"/>
      <c r="U15" s="8"/>
      <c r="V15" s="8"/>
      <c r="Y15" s="8"/>
      <c r="Z15" s="8"/>
      <c r="AA15" s="8"/>
      <c r="AB15" s="8"/>
      <c r="AC15" s="8"/>
      <c r="AD15" s="8"/>
      <c r="AE15" s="8"/>
      <c r="AF15" s="8"/>
      <c r="AG15" s="8"/>
    </row>
    <row r="16" spans="2:35" x14ac:dyDescent="0.25">
      <c r="D16" t="s">
        <v>105</v>
      </c>
      <c r="E16" t="s">
        <v>106</v>
      </c>
      <c r="F16" t="s">
        <v>107</v>
      </c>
      <c r="G16" t="s">
        <v>108</v>
      </c>
      <c r="I16" s="39" t="s">
        <v>110</v>
      </c>
      <c r="J16" s="39"/>
      <c r="K16" s="39"/>
      <c r="L16" s="39"/>
      <c r="M16" s="39" t="s">
        <v>114</v>
      </c>
      <c r="N16" s="39"/>
      <c r="O16" s="39"/>
      <c r="P16" s="39"/>
      <c r="Q16" s="39" t="s">
        <v>115</v>
      </c>
      <c r="R16" s="39"/>
      <c r="S16" s="39"/>
      <c r="T16" s="39"/>
      <c r="U16" s="39" t="s">
        <v>116</v>
      </c>
      <c r="V16" s="39"/>
      <c r="W16" s="39"/>
      <c r="X16" s="39"/>
      <c r="Y16" s="39" t="s">
        <v>117</v>
      </c>
      <c r="Z16" s="39"/>
      <c r="AA16" s="39"/>
      <c r="AB16" s="39"/>
      <c r="AC16" s="39" t="s">
        <v>118</v>
      </c>
      <c r="AD16" s="39"/>
      <c r="AE16" s="39"/>
      <c r="AF16" s="39"/>
    </row>
    <row r="17" spans="2:33" x14ac:dyDescent="0.25">
      <c r="B17" s="8"/>
      <c r="C17" s="8"/>
      <c r="D17" s="34">
        <f>AVERAGE(D14,H14,L14,P14,T14,X14,AB14)</f>
        <v>159.57142857142858</v>
      </c>
      <c r="E17" s="34">
        <f>AVERAGE(E14,I14,M14,Q14,U14,Y14,AC14)</f>
        <v>165.57142857142858</v>
      </c>
      <c r="F17" s="34">
        <f t="shared" ref="F17:G17" si="1">AVERAGE(F14,J14,N14,R14,V14,Z14,AD14)</f>
        <v>162.42857142857142</v>
      </c>
      <c r="G17" s="34">
        <f t="shared" si="1"/>
        <v>166.57142857142858</v>
      </c>
      <c r="H17" s="8"/>
      <c r="I17" s="2" t="s">
        <v>44</v>
      </c>
      <c r="J17" s="2" t="s">
        <v>111</v>
      </c>
      <c r="K17" s="2" t="s">
        <v>112</v>
      </c>
      <c r="L17" s="2" t="s">
        <v>113</v>
      </c>
      <c r="M17" s="2" t="s">
        <v>44</v>
      </c>
      <c r="N17" s="2" t="s">
        <v>111</v>
      </c>
      <c r="O17" s="2" t="s">
        <v>112</v>
      </c>
      <c r="P17" s="2" t="s">
        <v>113</v>
      </c>
      <c r="Q17" s="2" t="s">
        <v>44</v>
      </c>
      <c r="R17" s="2" t="s">
        <v>111</v>
      </c>
      <c r="S17" s="2" t="s">
        <v>112</v>
      </c>
      <c r="T17" s="2" t="s">
        <v>113</v>
      </c>
      <c r="U17" s="2" t="s">
        <v>44</v>
      </c>
      <c r="V17" s="2" t="s">
        <v>111</v>
      </c>
      <c r="W17" s="2" t="s">
        <v>112</v>
      </c>
      <c r="X17" s="2" t="s">
        <v>113</v>
      </c>
      <c r="Y17" s="2" t="s">
        <v>44</v>
      </c>
      <c r="Z17" s="2" t="s">
        <v>111</v>
      </c>
      <c r="AA17" s="2" t="s">
        <v>112</v>
      </c>
      <c r="AB17" s="2" t="s">
        <v>113</v>
      </c>
      <c r="AC17" s="2" t="s">
        <v>44</v>
      </c>
      <c r="AD17" s="2" t="s">
        <v>111</v>
      </c>
      <c r="AE17" s="2" t="s">
        <v>112</v>
      </c>
      <c r="AF17" s="2" t="s">
        <v>113</v>
      </c>
      <c r="AG17" s="8"/>
    </row>
    <row r="18" spans="2:33" x14ac:dyDescent="0.25">
      <c r="B18" s="8"/>
      <c r="C18" s="8"/>
      <c r="D18" s="8"/>
      <c r="E18" s="8"/>
      <c r="F18" s="8"/>
      <c r="G18" s="8"/>
      <c r="H18" s="8"/>
      <c r="I18" s="2">
        <v>14</v>
      </c>
      <c r="J18" s="2">
        <v>14</v>
      </c>
      <c r="K18" s="2">
        <v>19</v>
      </c>
      <c r="L18" s="2">
        <v>14</v>
      </c>
      <c r="M18" s="2">
        <v>17</v>
      </c>
      <c r="N18" s="2">
        <v>23</v>
      </c>
      <c r="O18" s="2">
        <v>7</v>
      </c>
      <c r="P18" s="2">
        <v>8</v>
      </c>
      <c r="Q18" s="2">
        <v>22</v>
      </c>
      <c r="R18" s="2">
        <v>22</v>
      </c>
      <c r="S18" s="2">
        <v>22</v>
      </c>
      <c r="T18" s="2">
        <v>22</v>
      </c>
      <c r="U18" s="2">
        <v>15</v>
      </c>
      <c r="V18" s="2">
        <v>22</v>
      </c>
      <c r="W18" s="2">
        <v>23</v>
      </c>
      <c r="X18" s="2">
        <v>11</v>
      </c>
      <c r="Y18" s="2">
        <v>0</v>
      </c>
      <c r="Z18" s="2">
        <v>0</v>
      </c>
      <c r="AA18" s="2">
        <v>21</v>
      </c>
      <c r="AB18" s="2">
        <v>14</v>
      </c>
      <c r="AC18" s="2">
        <v>0</v>
      </c>
      <c r="AD18" s="2">
        <v>0</v>
      </c>
      <c r="AE18" s="2">
        <v>11</v>
      </c>
      <c r="AF18" s="2"/>
      <c r="AG18" s="8"/>
    </row>
    <row r="19" spans="2:33" x14ac:dyDescent="0.25">
      <c r="B19" s="8"/>
      <c r="C19" s="8"/>
      <c r="D19" s="8" t="s">
        <v>109</v>
      </c>
      <c r="E19" s="8"/>
      <c r="F19" s="8"/>
      <c r="G19" s="8"/>
      <c r="H19" s="8"/>
      <c r="I19" s="2">
        <v>13</v>
      </c>
      <c r="J19" s="2">
        <v>16</v>
      </c>
      <c r="K19" s="2">
        <v>19</v>
      </c>
      <c r="L19" s="2">
        <v>23</v>
      </c>
      <c r="M19" s="2">
        <v>13</v>
      </c>
      <c r="N19" s="2">
        <v>17</v>
      </c>
      <c r="O19" s="2">
        <v>16</v>
      </c>
      <c r="P19" s="2">
        <v>18</v>
      </c>
      <c r="Q19" s="2">
        <v>22</v>
      </c>
      <c r="R19" s="2">
        <v>22</v>
      </c>
      <c r="S19" s="2">
        <v>22</v>
      </c>
      <c r="T19" s="2">
        <v>22</v>
      </c>
      <c r="U19" s="2">
        <v>13</v>
      </c>
      <c r="V19" s="2">
        <v>17</v>
      </c>
      <c r="W19" s="2">
        <v>21</v>
      </c>
      <c r="X19" s="2">
        <v>21</v>
      </c>
      <c r="Y19" s="2">
        <v>12</v>
      </c>
      <c r="Z19" s="2">
        <v>21</v>
      </c>
      <c r="AA19" s="2">
        <v>17</v>
      </c>
      <c r="AB19" s="2">
        <v>27</v>
      </c>
      <c r="AC19" s="2">
        <v>11</v>
      </c>
      <c r="AD19" s="2">
        <v>21</v>
      </c>
      <c r="AE19" s="2">
        <v>17</v>
      </c>
      <c r="AF19" s="2"/>
      <c r="AG19" s="8"/>
    </row>
    <row r="20" spans="2:33" x14ac:dyDescent="0.25">
      <c r="B20" s="8"/>
      <c r="C20" s="8"/>
      <c r="D20" s="8">
        <f>AVERAGE(D14:AE14)</f>
        <v>163.53571428571428</v>
      </c>
      <c r="E20" s="8"/>
      <c r="F20" s="8"/>
      <c r="G20" s="8"/>
      <c r="H20" s="8"/>
      <c r="I20" s="2">
        <v>12</v>
      </c>
      <c r="J20" s="2">
        <v>7</v>
      </c>
      <c r="K20" s="2">
        <v>17</v>
      </c>
      <c r="L20" s="2">
        <v>16</v>
      </c>
      <c r="M20" s="2">
        <v>17</v>
      </c>
      <c r="N20" s="2">
        <v>12</v>
      </c>
      <c r="O20" s="2">
        <v>15</v>
      </c>
      <c r="P20" s="2">
        <v>19</v>
      </c>
      <c r="Q20" s="2">
        <v>22</v>
      </c>
      <c r="R20" s="2">
        <v>22</v>
      </c>
      <c r="S20" s="2">
        <v>22</v>
      </c>
      <c r="T20" s="2">
        <v>19</v>
      </c>
      <c r="U20" s="2">
        <v>18</v>
      </c>
      <c r="V20" s="2">
        <v>19</v>
      </c>
      <c r="W20" s="2">
        <v>15</v>
      </c>
      <c r="X20" s="2">
        <v>16</v>
      </c>
      <c r="Y20" s="2">
        <v>16</v>
      </c>
      <c r="Z20" s="2">
        <v>11</v>
      </c>
      <c r="AA20" s="2">
        <v>14</v>
      </c>
      <c r="AB20" s="2">
        <v>17</v>
      </c>
      <c r="AC20" s="2">
        <v>21</v>
      </c>
      <c r="AD20" s="2">
        <v>11</v>
      </c>
      <c r="AE20" s="2">
        <v>18</v>
      </c>
      <c r="AF20" s="2"/>
      <c r="AG20" s="8"/>
    </row>
    <row r="21" spans="2:33" x14ac:dyDescent="0.25">
      <c r="C21" s="8"/>
      <c r="D21" s="8"/>
      <c r="E21" s="8"/>
      <c r="F21" s="8"/>
      <c r="G21" s="8"/>
      <c r="H21" s="8"/>
      <c r="I21" s="2">
        <v>28</v>
      </c>
      <c r="J21" s="2">
        <v>12</v>
      </c>
      <c r="K21" s="2">
        <v>21</v>
      </c>
      <c r="L21" s="2">
        <v>14</v>
      </c>
      <c r="M21" s="2">
        <v>14</v>
      </c>
      <c r="N21" s="2">
        <v>19</v>
      </c>
      <c r="O21" s="2">
        <v>13</v>
      </c>
      <c r="P21" s="2">
        <v>13</v>
      </c>
      <c r="Q21" s="2">
        <v>18</v>
      </c>
      <c r="R21" s="2">
        <v>21</v>
      </c>
      <c r="S21" s="2">
        <v>19</v>
      </c>
      <c r="T21" s="2">
        <v>39</v>
      </c>
      <c r="U21" s="2">
        <v>20</v>
      </c>
      <c r="V21" s="2">
        <v>15</v>
      </c>
      <c r="W21" s="2">
        <v>13</v>
      </c>
      <c r="X21" s="2">
        <v>13</v>
      </c>
      <c r="Y21" s="2">
        <v>18</v>
      </c>
      <c r="Z21" s="2">
        <v>18</v>
      </c>
      <c r="AA21" s="2">
        <v>11</v>
      </c>
      <c r="AB21" s="2">
        <v>15</v>
      </c>
      <c r="AC21" s="2">
        <v>21</v>
      </c>
      <c r="AD21" s="2">
        <v>18</v>
      </c>
      <c r="AE21" s="2">
        <v>13</v>
      </c>
      <c r="AF21" s="2"/>
    </row>
    <row r="22" spans="2:33" x14ac:dyDescent="0.25">
      <c r="C22" s="8"/>
      <c r="D22" s="8"/>
      <c r="E22" s="8"/>
      <c r="F22" s="8"/>
      <c r="G22" s="8"/>
      <c r="H22" s="8"/>
      <c r="I22" s="2">
        <v>37</v>
      </c>
      <c r="J22" s="2">
        <v>18</v>
      </c>
      <c r="K22" s="2">
        <v>19</v>
      </c>
      <c r="L22" s="2">
        <v>11</v>
      </c>
      <c r="M22" s="2">
        <v>21</v>
      </c>
      <c r="N22" s="2">
        <v>19</v>
      </c>
      <c r="O22" s="2">
        <v>21</v>
      </c>
      <c r="P22" s="2">
        <v>21</v>
      </c>
      <c r="Q22" s="2">
        <v>29</v>
      </c>
      <c r="R22" s="2">
        <v>40</v>
      </c>
      <c r="S22" s="2">
        <v>28</v>
      </c>
      <c r="T22" s="2">
        <v>26</v>
      </c>
      <c r="U22" s="2">
        <v>21</v>
      </c>
      <c r="V22" s="2">
        <v>22</v>
      </c>
      <c r="W22" s="2">
        <v>24</v>
      </c>
      <c r="X22" s="2">
        <v>24</v>
      </c>
      <c r="Y22" s="2">
        <v>21</v>
      </c>
      <c r="Z22" s="2">
        <v>34</v>
      </c>
      <c r="AA22" s="2">
        <v>28</v>
      </c>
      <c r="AB22" s="2">
        <v>24</v>
      </c>
      <c r="AC22" s="2">
        <v>25</v>
      </c>
      <c r="AD22" s="2">
        <v>25</v>
      </c>
      <c r="AE22" s="2">
        <v>23</v>
      </c>
      <c r="AF22" s="2"/>
    </row>
    <row r="23" spans="2:33" x14ac:dyDescent="0.25">
      <c r="C23" s="8"/>
      <c r="D23" s="8"/>
      <c r="E23" s="8"/>
      <c r="F23" s="8"/>
      <c r="G23" s="8"/>
      <c r="H23" s="8"/>
      <c r="I23" s="2">
        <v>12</v>
      </c>
      <c r="J23" s="2">
        <v>32</v>
      </c>
      <c r="K23" s="2">
        <v>17</v>
      </c>
      <c r="L23" s="2">
        <v>24</v>
      </c>
      <c r="M23" s="2">
        <v>19</v>
      </c>
      <c r="N23" s="2">
        <v>15</v>
      </c>
      <c r="O23" s="2">
        <v>27</v>
      </c>
      <c r="P23" s="2">
        <v>22</v>
      </c>
      <c r="Q23" s="2">
        <v>25</v>
      </c>
      <c r="R23" s="2">
        <v>37</v>
      </c>
      <c r="S23" s="2">
        <v>32</v>
      </c>
      <c r="T23" s="2">
        <v>29</v>
      </c>
      <c r="U23" s="2">
        <v>22</v>
      </c>
      <c r="V23" s="2">
        <v>26</v>
      </c>
      <c r="W23" s="2">
        <v>23</v>
      </c>
      <c r="X23" s="2">
        <v>23</v>
      </c>
      <c r="Y23" s="2">
        <v>30</v>
      </c>
      <c r="Z23" s="2">
        <v>35</v>
      </c>
      <c r="AA23" s="2">
        <v>18</v>
      </c>
      <c r="AB23" s="2">
        <v>26</v>
      </c>
      <c r="AC23" s="2">
        <v>29</v>
      </c>
      <c r="AD23" s="2">
        <v>26</v>
      </c>
      <c r="AE23" s="2">
        <v>26</v>
      </c>
      <c r="AF23" s="2"/>
    </row>
    <row r="24" spans="2:33" x14ac:dyDescent="0.25">
      <c r="C24" s="8"/>
      <c r="D24" s="8"/>
      <c r="E24" s="8"/>
      <c r="F24" s="8"/>
      <c r="G24" s="8"/>
      <c r="H24" s="8"/>
      <c r="I24" s="2">
        <v>27</v>
      </c>
      <c r="J24" s="2">
        <v>15</v>
      </c>
      <c r="K24" s="2">
        <v>22</v>
      </c>
      <c r="L24" s="2">
        <v>18</v>
      </c>
      <c r="M24" s="2">
        <v>18</v>
      </c>
      <c r="N24" s="2">
        <v>28</v>
      </c>
      <c r="O24" s="2">
        <v>24</v>
      </c>
      <c r="P24" s="2">
        <v>26</v>
      </c>
      <c r="Q24" s="2">
        <v>27</v>
      </c>
      <c r="R24" s="2">
        <v>40</v>
      </c>
      <c r="S24" s="2">
        <v>27</v>
      </c>
      <c r="T24" s="2">
        <v>38</v>
      </c>
      <c r="U24" s="2">
        <v>28</v>
      </c>
      <c r="V24" s="2">
        <v>22</v>
      </c>
      <c r="W24" s="2">
        <v>28</v>
      </c>
      <c r="X24" s="2">
        <v>28</v>
      </c>
      <c r="Y24" s="2">
        <v>20</v>
      </c>
      <c r="Z24" s="2">
        <v>32</v>
      </c>
      <c r="AA24" s="2">
        <v>27</v>
      </c>
      <c r="AB24" s="2">
        <v>31</v>
      </c>
      <c r="AC24" s="2">
        <v>27</v>
      </c>
      <c r="AD24" s="2">
        <v>21</v>
      </c>
      <c r="AE24" s="2">
        <v>23</v>
      </c>
      <c r="AF24" s="2"/>
    </row>
    <row r="25" spans="2:33" x14ac:dyDescent="0.25">
      <c r="C25" s="8"/>
      <c r="D25" s="8"/>
      <c r="E25" s="8"/>
      <c r="F25" s="8"/>
      <c r="G25" s="8"/>
      <c r="H25" s="8"/>
    </row>
    <row r="26" spans="2:33" x14ac:dyDescent="0.25">
      <c r="C26" s="8"/>
      <c r="D26" s="8"/>
      <c r="E26" s="8"/>
      <c r="F26" s="8"/>
      <c r="G26" s="8"/>
      <c r="H26" s="8"/>
    </row>
    <row r="27" spans="2:33" x14ac:dyDescent="0.25">
      <c r="C27" s="8"/>
      <c r="D27" s="8"/>
      <c r="E27" s="8"/>
      <c r="F27" s="8"/>
      <c r="G27" s="8"/>
      <c r="H27" s="8"/>
    </row>
    <row r="28" spans="2:33" x14ac:dyDescent="0.25">
      <c r="C28" s="8"/>
      <c r="D28" s="8"/>
      <c r="E28" s="8"/>
      <c r="F28" s="8"/>
      <c r="G28" s="8"/>
      <c r="H28" s="8"/>
    </row>
    <row r="29" spans="2:33" x14ac:dyDescent="0.25">
      <c r="C29" s="8"/>
      <c r="D29" s="8"/>
      <c r="E29" s="8"/>
      <c r="F29" s="8"/>
      <c r="G29" s="8"/>
      <c r="H29" s="8"/>
    </row>
    <row r="30" spans="2:33" x14ac:dyDescent="0.25">
      <c r="C30" s="8"/>
      <c r="D30" s="8"/>
      <c r="E30" s="8"/>
      <c r="F30" s="8"/>
      <c r="G30" s="8"/>
      <c r="H30" s="8"/>
    </row>
    <row r="31" spans="2:33" x14ac:dyDescent="0.25">
      <c r="C31" s="8"/>
      <c r="D31" s="8"/>
      <c r="E31" s="8"/>
      <c r="F31" s="8"/>
      <c r="G31" s="8"/>
      <c r="H31" s="8"/>
    </row>
    <row r="32" spans="2:33" x14ac:dyDescent="0.25">
      <c r="C32" s="8"/>
      <c r="D32" s="8"/>
      <c r="E32" s="8"/>
      <c r="F32" s="8"/>
      <c r="G32" s="8"/>
    </row>
    <row r="33" spans="3:8" x14ac:dyDescent="0.25">
      <c r="C33" s="8"/>
      <c r="D33" s="8"/>
      <c r="E33" s="8"/>
      <c r="F33" s="8"/>
      <c r="G33" s="8"/>
      <c r="H33" s="8"/>
    </row>
    <row r="34" spans="3:8" x14ac:dyDescent="0.25">
      <c r="C34" s="8"/>
      <c r="D34" s="8"/>
      <c r="E34" s="8"/>
      <c r="F34" s="8"/>
      <c r="G34" s="8"/>
      <c r="H34" s="8"/>
    </row>
    <row r="35" spans="3:8" x14ac:dyDescent="0.25">
      <c r="C35" s="8"/>
      <c r="D35" s="8"/>
      <c r="E35" s="8"/>
      <c r="F35" s="8"/>
      <c r="G35" s="8"/>
      <c r="H35" s="8"/>
    </row>
    <row r="36" spans="3:8" x14ac:dyDescent="0.25">
      <c r="C36" s="8"/>
      <c r="D36" s="8"/>
      <c r="E36" s="8"/>
      <c r="F36" s="8"/>
      <c r="G36" s="8"/>
      <c r="H36" s="8"/>
    </row>
    <row r="37" spans="3:8" x14ac:dyDescent="0.25">
      <c r="C37" s="8"/>
      <c r="D37" s="8"/>
      <c r="E37" s="8"/>
      <c r="F37" s="8"/>
      <c r="G37" s="8"/>
    </row>
    <row r="38" spans="3:8" x14ac:dyDescent="0.25">
      <c r="C38" s="8"/>
      <c r="D38" s="8"/>
      <c r="E38" s="8"/>
      <c r="F38" s="8"/>
      <c r="G38" s="8"/>
    </row>
    <row r="39" spans="3:8" x14ac:dyDescent="0.25">
      <c r="C39" s="8"/>
      <c r="D39" s="8"/>
      <c r="E39" s="8"/>
      <c r="F39" s="8"/>
      <c r="G39" s="8"/>
      <c r="H39" s="8"/>
    </row>
    <row r="40" spans="3:8" x14ac:dyDescent="0.25">
      <c r="C40" s="8"/>
      <c r="D40" s="8"/>
      <c r="E40" s="8"/>
      <c r="F40" s="8"/>
      <c r="G40" s="8"/>
      <c r="H40" s="8"/>
    </row>
    <row r="41" spans="3:8" x14ac:dyDescent="0.25">
      <c r="C41" s="8"/>
      <c r="D41" s="8"/>
      <c r="E41" s="8"/>
      <c r="F41" s="8"/>
      <c r="G41" s="8"/>
      <c r="H41" s="8"/>
    </row>
    <row r="42" spans="3:8" x14ac:dyDescent="0.25">
      <c r="C42" s="8"/>
      <c r="D42" s="8"/>
      <c r="E42" s="8"/>
      <c r="F42" s="8"/>
      <c r="G42" s="8"/>
      <c r="H42" s="8"/>
    </row>
    <row r="43" spans="3:8" x14ac:dyDescent="0.25">
      <c r="C43" s="8"/>
      <c r="D43" s="8"/>
      <c r="E43" s="8"/>
      <c r="F43" s="8"/>
      <c r="G43" s="8"/>
      <c r="H43" s="8"/>
    </row>
    <row r="44" spans="3:8" x14ac:dyDescent="0.25">
      <c r="C44" s="8"/>
      <c r="D44" s="8"/>
      <c r="E44" s="8"/>
      <c r="F44" s="8"/>
      <c r="G44" s="8"/>
      <c r="H44" s="8"/>
    </row>
    <row r="45" spans="3:8" x14ac:dyDescent="0.25">
      <c r="C45" s="8"/>
      <c r="D45" s="8"/>
      <c r="E45" s="8"/>
      <c r="F45" s="8"/>
      <c r="G45" s="8"/>
      <c r="H45" s="8"/>
    </row>
    <row r="46" spans="3:8" x14ac:dyDescent="0.25">
      <c r="C46" s="8"/>
      <c r="D46" s="8"/>
      <c r="E46" s="8"/>
      <c r="F46" s="8"/>
      <c r="G46" s="8"/>
      <c r="H46" s="8"/>
    </row>
    <row r="47" spans="3:8" x14ac:dyDescent="0.25">
      <c r="C47" s="8"/>
      <c r="D47" s="8"/>
      <c r="E47" s="8"/>
      <c r="F47" s="8"/>
      <c r="G47" s="8"/>
      <c r="H47" s="8"/>
    </row>
  </sheetData>
  <mergeCells count="6">
    <mergeCell ref="AC16:AF16"/>
    <mergeCell ref="I16:L16"/>
    <mergeCell ref="M16:P16"/>
    <mergeCell ref="Q16:T16"/>
    <mergeCell ref="U16:X16"/>
    <mergeCell ref="Y16:AB16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14FD-2859-4A01-8B2C-0115F92D96E6}">
  <dimension ref="A1:Q48"/>
  <sheetViews>
    <sheetView zoomScale="90" zoomScaleNormal="90" workbookViewId="0">
      <selection activeCell="P11" sqref="P11"/>
    </sheetView>
  </sheetViews>
  <sheetFormatPr baseColWidth="10" defaultColWidth="9.140625" defaultRowHeight="15" x14ac:dyDescent="0.25"/>
  <cols>
    <col min="2" max="2" width="17.42578125" bestFit="1" customWidth="1"/>
    <col min="3" max="3" width="8.140625" bestFit="1" customWidth="1"/>
    <col min="4" max="4" width="5.85546875" bestFit="1" customWidth="1"/>
    <col min="5" max="6" width="13.5703125" bestFit="1" customWidth="1"/>
    <col min="7" max="9" width="12.42578125" bestFit="1" customWidth="1"/>
    <col min="14" max="14" width="9.5703125" bestFit="1" customWidth="1"/>
  </cols>
  <sheetData>
    <row r="1" spans="1:17" ht="15.75" thickBot="1" x14ac:dyDescent="0.3"/>
    <row r="2" spans="1:17" x14ac:dyDescent="0.25">
      <c r="B2" s="9" t="s">
        <v>43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53</v>
      </c>
      <c r="H2" s="10" t="s">
        <v>52</v>
      </c>
      <c r="I2" s="10" t="s">
        <v>54</v>
      </c>
      <c r="J2" s="10" t="s">
        <v>55</v>
      </c>
      <c r="K2" s="10" t="s">
        <v>56</v>
      </c>
      <c r="L2" s="10" t="s">
        <v>57</v>
      </c>
      <c r="M2" s="10" t="s">
        <v>58</v>
      </c>
      <c r="N2" s="11" t="s">
        <v>59</v>
      </c>
    </row>
    <row r="3" spans="1:17" x14ac:dyDescent="0.25">
      <c r="A3" s="40">
        <v>2026</v>
      </c>
      <c r="B3" s="5" t="s">
        <v>44</v>
      </c>
      <c r="C3" s="2">
        <v>0.32196000000000002</v>
      </c>
      <c r="D3" s="18">
        <f>_xlfn.NORM.INV(C3,19.7,8.15)</f>
        <v>15.932866510966372</v>
      </c>
      <c r="E3" s="18">
        <f>_xlfn.NORM.INV(C3,16.9,2.55)</f>
        <v>15.721326331652055</v>
      </c>
      <c r="F3" s="18"/>
      <c r="G3" s="18"/>
      <c r="H3" s="18"/>
      <c r="I3" s="18"/>
      <c r="J3" s="18"/>
      <c r="K3" s="18"/>
      <c r="L3" s="18"/>
      <c r="M3" s="18"/>
      <c r="N3" s="19"/>
      <c r="O3" s="32">
        <f>SUM(D3:N3)</f>
        <v>31.654192842618428</v>
      </c>
      <c r="P3" s="32"/>
      <c r="Q3" s="32">
        <f>SUM(O3:O6)</f>
        <v>91.082597284059801</v>
      </c>
    </row>
    <row r="4" spans="1:17" x14ac:dyDescent="0.25">
      <c r="A4" s="40"/>
      <c r="B4" s="5" t="s">
        <v>45</v>
      </c>
      <c r="C4" s="2">
        <v>0.20449000000000001</v>
      </c>
      <c r="D4" s="18">
        <f>_xlfn.NORM.INV(C4,16.7,7.03)</f>
        <v>10.895399716807393</v>
      </c>
      <c r="E4" s="18">
        <f>_xlfn.NORM.INV(C4,19.4,4.59)</f>
        <v>15.610083172140246</v>
      </c>
      <c r="F4" s="18"/>
      <c r="G4" s="18"/>
      <c r="H4" s="18"/>
      <c r="I4" s="18"/>
      <c r="J4" s="18"/>
      <c r="K4" s="18"/>
      <c r="L4" s="18"/>
      <c r="M4" s="18"/>
      <c r="N4" s="19"/>
      <c r="O4" s="32">
        <f t="shared" ref="O4:O6" si="0">SUM(D4:N4)</f>
        <v>26.50548288894764</v>
      </c>
    </row>
    <row r="5" spans="1:17" x14ac:dyDescent="0.25">
      <c r="A5" s="40"/>
      <c r="B5" s="5" t="s">
        <v>46</v>
      </c>
      <c r="C5" s="2">
        <v>5.3400000000000003E-2</v>
      </c>
      <c r="D5" s="18">
        <f>_xlfn.NORM.INV(C5,19.2,1.54)</f>
        <v>16.716373269445178</v>
      </c>
      <c r="E5" s="18"/>
      <c r="F5" s="18"/>
      <c r="G5" s="18"/>
      <c r="H5" s="18"/>
      <c r="I5" s="18"/>
      <c r="J5" s="18"/>
      <c r="K5" s="18"/>
      <c r="L5" s="18"/>
      <c r="M5" s="18"/>
      <c r="N5" s="19"/>
      <c r="O5" s="32">
        <f t="shared" si="0"/>
        <v>16.716373269445178</v>
      </c>
    </row>
    <row r="6" spans="1:17" x14ac:dyDescent="0.25">
      <c r="A6" s="40"/>
      <c r="B6" s="5" t="s">
        <v>47</v>
      </c>
      <c r="C6" s="2">
        <v>0.38284000000000001</v>
      </c>
      <c r="D6" s="18">
        <f>_xlfn.NORM.INV(C6,17.5,4.34)</f>
        <v>16.206548283048562</v>
      </c>
      <c r="E6" s="18"/>
      <c r="F6" s="18"/>
      <c r="G6" s="18"/>
      <c r="H6" s="18"/>
      <c r="I6" s="18"/>
      <c r="J6" s="18"/>
      <c r="K6" s="18"/>
      <c r="L6" s="18"/>
      <c r="M6" s="18"/>
      <c r="N6" s="19"/>
      <c r="O6" s="32">
        <f t="shared" si="0"/>
        <v>16.206548283048562</v>
      </c>
    </row>
    <row r="7" spans="1:17" x14ac:dyDescent="0.25">
      <c r="A7" s="40">
        <v>2027</v>
      </c>
      <c r="B7" s="5" t="s">
        <v>44</v>
      </c>
      <c r="C7" s="2">
        <v>0.255</v>
      </c>
      <c r="D7" s="18">
        <f>_xlfn.NORM.INV(C7,19.7,8.15)</f>
        <v>14.330472804200069</v>
      </c>
      <c r="E7" s="18">
        <f>_xlfn.NORM.INV(C7,16.9,2.55)</f>
        <v>15.21996388352272</v>
      </c>
      <c r="F7" s="18"/>
      <c r="G7" s="18"/>
      <c r="H7" s="18"/>
      <c r="I7" s="18"/>
      <c r="J7" s="18"/>
      <c r="K7" s="18"/>
      <c r="L7" s="18"/>
      <c r="M7" s="18"/>
      <c r="N7" s="19"/>
    </row>
    <row r="8" spans="1:17" x14ac:dyDescent="0.25">
      <c r="A8" s="40"/>
      <c r="B8" s="5" t="s">
        <v>45</v>
      </c>
      <c r="C8" s="2">
        <v>0.71923000000000004</v>
      </c>
      <c r="D8" s="18">
        <f>_xlfn.NORM.INV(C8,16.7,7.03)</f>
        <v>20.781305907891213</v>
      </c>
      <c r="E8" s="18">
        <f>_xlfn.NORM.INV(C8,19.4,4.59)</f>
        <v>22.064750230045611</v>
      </c>
      <c r="F8" s="18"/>
      <c r="G8" s="18"/>
      <c r="H8" s="18"/>
      <c r="I8" s="18"/>
      <c r="J8" s="18"/>
      <c r="K8" s="18"/>
      <c r="L8" s="18"/>
      <c r="M8" s="18"/>
      <c r="N8" s="19"/>
    </row>
    <row r="9" spans="1:17" x14ac:dyDescent="0.25">
      <c r="A9" s="40"/>
      <c r="B9" s="5" t="s">
        <v>46</v>
      </c>
      <c r="C9" s="2">
        <v>0.19719</v>
      </c>
      <c r="D9" s="18">
        <f>_xlfn.NORM.INV(C9,19.2,1.54)</f>
        <v>17.8883802784107</v>
      </c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1:17" x14ac:dyDescent="0.25">
      <c r="A10" s="40"/>
      <c r="B10" s="5" t="s">
        <v>47</v>
      </c>
      <c r="C10" s="2">
        <v>0.82798000000000005</v>
      </c>
      <c r="D10" s="18">
        <f>_xlfn.NORM.INV(C10,17.5,4.34)</f>
        <v>21.606564052596816</v>
      </c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7" x14ac:dyDescent="0.25">
      <c r="A11" s="40">
        <v>2028</v>
      </c>
      <c r="B11" s="5" t="s">
        <v>44</v>
      </c>
      <c r="C11" s="2">
        <v>0.68791999999999998</v>
      </c>
      <c r="D11" s="18">
        <f>_xlfn.NORM.INV(C11,19.7,8.15)</f>
        <v>23.693199385052704</v>
      </c>
      <c r="E11" s="18">
        <f>_xlfn.NORM.INV(C11,16.9,2.55)</f>
        <v>18.149405942562503</v>
      </c>
      <c r="F11" s="18"/>
      <c r="G11" s="18"/>
      <c r="H11" s="18"/>
      <c r="I11" s="18"/>
      <c r="J11" s="18"/>
      <c r="K11" s="18"/>
      <c r="L11" s="18"/>
      <c r="M11" s="18"/>
      <c r="N11" s="19"/>
    </row>
    <row r="12" spans="1:17" x14ac:dyDescent="0.25">
      <c r="A12" s="40"/>
      <c r="B12" s="5" t="s">
        <v>45</v>
      </c>
      <c r="C12" s="2">
        <v>0.82355</v>
      </c>
      <c r="D12" s="18">
        <f>_xlfn.NORM.INV(C12,16.7,7.03)</f>
        <v>23.230721956699792</v>
      </c>
      <c r="E12" s="18">
        <f>_xlfn.NORM.INV(C12,19.4,4.59)</f>
        <v>23.664013340149651</v>
      </c>
      <c r="F12" s="18"/>
      <c r="G12" s="18"/>
      <c r="H12" s="18"/>
      <c r="I12" s="18"/>
      <c r="J12" s="18"/>
      <c r="K12" s="18"/>
      <c r="L12" s="18"/>
      <c r="M12" s="18"/>
      <c r="N12" s="19"/>
    </row>
    <row r="13" spans="1:17" x14ac:dyDescent="0.25">
      <c r="A13" s="40"/>
      <c r="B13" s="5" t="s">
        <v>46</v>
      </c>
      <c r="C13" s="2">
        <v>0.61865000000000003</v>
      </c>
      <c r="D13" s="18">
        <f>_xlfn.NORM.INV(C13,19.2,1.54)</f>
        <v>19.664983160501645</v>
      </c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14" spans="1:17" x14ac:dyDescent="0.25">
      <c r="A14" s="40"/>
      <c r="B14" s="5" t="s">
        <v>47</v>
      </c>
      <c r="C14" s="2">
        <v>0.82872000000000001</v>
      </c>
      <c r="D14" s="18">
        <f>_xlfn.NORM.INV(C14,17.5,4.34)</f>
        <v>21.619177245144392</v>
      </c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7" x14ac:dyDescent="0.25">
      <c r="A15" s="40">
        <v>2029</v>
      </c>
      <c r="B15" s="5" t="s">
        <v>44</v>
      </c>
      <c r="C15" s="2">
        <v>0.35715000000000002</v>
      </c>
      <c r="D15" s="18">
        <f>_xlfn.NORM.INV(C15,19.7,8.15)</f>
        <v>16.716389227450378</v>
      </c>
      <c r="E15" s="18">
        <f>_xlfn.NORM.INV(C15,16.9,2.55)</f>
        <v>15.966477611042755</v>
      </c>
      <c r="F15" s="18"/>
      <c r="G15" s="18"/>
      <c r="H15" s="18"/>
      <c r="I15" s="18"/>
      <c r="J15" s="18"/>
      <c r="K15" s="18"/>
      <c r="L15" s="18"/>
      <c r="M15" s="18"/>
      <c r="N15" s="19"/>
    </row>
    <row r="16" spans="1:17" x14ac:dyDescent="0.25">
      <c r="A16" s="40"/>
      <c r="B16" s="5" t="s">
        <v>45</v>
      </c>
      <c r="C16" s="2">
        <v>0.58691000000000004</v>
      </c>
      <c r="D16" s="18">
        <f>_xlfn.NORM.INV(C16,16.7,7.03)</f>
        <v>18.243812292208055</v>
      </c>
      <c r="E16" s="18">
        <f>_xlfn.NORM.INV(C16,19.4,4.59)</f>
        <v>20.407979860773111</v>
      </c>
      <c r="F16" s="18"/>
      <c r="G16" s="18"/>
      <c r="H16" s="18"/>
      <c r="I16" s="18"/>
      <c r="J16" s="18"/>
      <c r="K16" s="18"/>
      <c r="L16" s="18"/>
      <c r="M16" s="18"/>
      <c r="N16" s="19"/>
    </row>
    <row r="17" spans="1:14" x14ac:dyDescent="0.25">
      <c r="A17" s="40"/>
      <c r="B17" s="5" t="s">
        <v>46</v>
      </c>
      <c r="C17" s="2">
        <v>0.54071000000000002</v>
      </c>
      <c r="D17" s="18">
        <f>_xlfn.NORM.INV(C17,19.2,1.54)</f>
        <v>19.35742278365203</v>
      </c>
      <c r="E17" s="18"/>
      <c r="F17" s="18"/>
      <c r="G17" s="18"/>
      <c r="H17" s="18"/>
      <c r="I17" s="18"/>
      <c r="J17" s="18"/>
      <c r="K17" s="18"/>
      <c r="L17" s="18"/>
      <c r="M17" s="18"/>
      <c r="N17" s="19"/>
    </row>
    <row r="18" spans="1:14" x14ac:dyDescent="0.25">
      <c r="A18" s="40"/>
      <c r="B18" s="5" t="s">
        <v>47</v>
      </c>
      <c r="C18" s="2">
        <v>0.11686000000000001</v>
      </c>
      <c r="D18" s="18">
        <f>_xlfn.NORM.INV(C18,17.5,4.34)</f>
        <v>12.33179416235801</v>
      </c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25">
      <c r="A19" s="40">
        <v>2030</v>
      </c>
      <c r="B19" s="5" t="s">
        <v>44</v>
      </c>
      <c r="C19" s="2">
        <v>0.82859000000000005</v>
      </c>
      <c r="D19" s="18">
        <f>_xlfn.NORM.INV(C19,19.7,8.15)</f>
        <v>27.431155531176802</v>
      </c>
      <c r="E19" s="18">
        <f>_xlfn.NORM.INV(C19,16.9,2.55)</f>
        <v>19.318950503619735</v>
      </c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40"/>
      <c r="B20" s="5" t="s">
        <v>45</v>
      </c>
      <c r="C20" s="2">
        <v>0.80867</v>
      </c>
      <c r="D20" s="18">
        <f>_xlfn.NORM.INV(C20,16.7,7.03)</f>
        <v>22.837229695355042</v>
      </c>
      <c r="E20" s="18">
        <f>_xlfn.NORM.INV(C20,19.4,4.59)</f>
        <v>23.407095917735369</v>
      </c>
      <c r="F20" s="18"/>
      <c r="G20" s="18"/>
      <c r="H20" s="18"/>
      <c r="I20" s="18"/>
      <c r="J20" s="18"/>
      <c r="K20" s="18"/>
      <c r="L20" s="18"/>
      <c r="M20" s="18"/>
      <c r="N20" s="19"/>
    </row>
    <row r="21" spans="1:14" x14ac:dyDescent="0.25">
      <c r="A21" s="40"/>
      <c r="B21" s="5" t="s">
        <v>46</v>
      </c>
      <c r="C21" s="2">
        <v>0.83211000000000002</v>
      </c>
      <c r="D21" s="18">
        <f>_xlfn.NORM.INV(C21,19.2,1.54)</f>
        <v>20.682306754677114</v>
      </c>
      <c r="E21" s="18"/>
      <c r="F21" s="18"/>
      <c r="G21" s="18"/>
      <c r="H21" s="18"/>
      <c r="I21" s="18"/>
      <c r="J21" s="18"/>
      <c r="K21" s="18"/>
      <c r="L21" s="18"/>
      <c r="M21" s="18"/>
      <c r="N21" s="19"/>
    </row>
    <row r="22" spans="1:14" x14ac:dyDescent="0.25">
      <c r="A22" s="40"/>
      <c r="B22" s="5" t="s">
        <v>47</v>
      </c>
      <c r="C22" s="2">
        <v>6.4860000000000001E-2</v>
      </c>
      <c r="D22" s="18">
        <f>_xlfn.NORM.INV(C22,17.5,4.34)</f>
        <v>10.924001775422113</v>
      </c>
      <c r="E22" s="18"/>
      <c r="F22" s="18"/>
      <c r="G22" s="18"/>
      <c r="H22" s="18"/>
      <c r="I22" s="18"/>
      <c r="J22" s="18"/>
      <c r="K22" s="18"/>
      <c r="L22" s="18"/>
      <c r="M22" s="18"/>
      <c r="N22" s="19"/>
    </row>
    <row r="23" spans="1:14" x14ac:dyDescent="0.25">
      <c r="A23" s="40">
        <v>2031</v>
      </c>
      <c r="B23" s="5" t="s">
        <v>44</v>
      </c>
      <c r="C23" s="2">
        <v>0.2011</v>
      </c>
      <c r="D23" s="18">
        <f>_xlfn.NORM.INV(C23,19.7,8.15)</f>
        <v>12.872756411021387</v>
      </c>
      <c r="E23" s="18">
        <f>_xlfn.NORM.INV(C23,16.9,2.55)</f>
        <v>14.763868570319573</v>
      </c>
      <c r="F23" s="18"/>
      <c r="G23" s="18"/>
      <c r="H23" s="18"/>
      <c r="I23" s="18"/>
      <c r="J23" s="18"/>
      <c r="K23" s="18"/>
      <c r="L23" s="18"/>
      <c r="M23" s="18"/>
      <c r="N23" s="19"/>
    </row>
    <row r="24" spans="1:14" x14ac:dyDescent="0.25">
      <c r="A24" s="40"/>
      <c r="B24" s="5" t="s">
        <v>45</v>
      </c>
      <c r="C24" s="2">
        <v>0.72123000000000004</v>
      </c>
      <c r="D24" s="18">
        <f>_xlfn.NORM.INV(C24,16.7,7.03)</f>
        <v>20.823090411690092</v>
      </c>
      <c r="E24" s="18">
        <f>_xlfn.NORM.INV(C24,19.4,4.59)</f>
        <v>22.092032004218709</v>
      </c>
      <c r="F24" s="18"/>
      <c r="G24" s="18"/>
      <c r="H24" s="18"/>
      <c r="I24" s="18"/>
      <c r="J24" s="18"/>
      <c r="K24" s="18"/>
      <c r="L24" s="18"/>
      <c r="M24" s="18"/>
      <c r="N24" s="19"/>
    </row>
    <row r="25" spans="1:14" x14ac:dyDescent="0.25">
      <c r="A25" s="40"/>
      <c r="B25" s="5" t="s">
        <v>46</v>
      </c>
      <c r="C25" s="2">
        <v>0.79405000000000003</v>
      </c>
      <c r="D25" s="18">
        <f>_xlfn.NORM.INV(C25,19.2,1.54)</f>
        <v>20.463654129239426</v>
      </c>
      <c r="E25" s="18"/>
      <c r="F25" s="18"/>
      <c r="G25" s="18"/>
      <c r="H25" s="18"/>
      <c r="I25" s="18"/>
      <c r="J25" s="18"/>
      <c r="K25" s="18"/>
      <c r="L25" s="18"/>
      <c r="M25" s="18"/>
      <c r="N25" s="19"/>
    </row>
    <row r="26" spans="1:14" x14ac:dyDescent="0.25">
      <c r="A26" s="40"/>
      <c r="B26" s="5" t="s">
        <v>47</v>
      </c>
      <c r="C26" s="2">
        <v>0.54749000000000003</v>
      </c>
      <c r="D26" s="18">
        <f>_xlfn.NORM.INV(C26,17.5,4.34)</f>
        <v>18.017858874399739</v>
      </c>
      <c r="E26" s="18"/>
      <c r="F26" s="18"/>
      <c r="G26" s="18"/>
      <c r="H26" s="18"/>
      <c r="I26" s="18"/>
      <c r="J26" s="18"/>
      <c r="K26" s="18"/>
      <c r="L26" s="18"/>
      <c r="M26" s="18"/>
      <c r="N26" s="19"/>
    </row>
    <row r="27" spans="1:14" x14ac:dyDescent="0.25">
      <c r="A27" s="40">
        <v>2032</v>
      </c>
      <c r="B27" s="5" t="s">
        <v>44</v>
      </c>
      <c r="C27" s="2">
        <v>0.53291999999999995</v>
      </c>
      <c r="D27" s="18">
        <f>_xlfn.NORM.INV(C27,19.7,8.15)</f>
        <v>20.373288407520207</v>
      </c>
      <c r="E27" s="18">
        <f>_xlfn.NORM.INV(C27,16.9,2.55)</f>
        <v>17.11066079008301</v>
      </c>
      <c r="F27" s="18"/>
      <c r="G27" s="18"/>
      <c r="H27" s="18"/>
      <c r="I27" s="18"/>
      <c r="J27" s="18"/>
      <c r="K27" s="18"/>
      <c r="L27" s="18"/>
      <c r="M27" s="18"/>
      <c r="N27" s="19"/>
    </row>
    <row r="28" spans="1:14" x14ac:dyDescent="0.25">
      <c r="A28" s="40"/>
      <c r="B28" s="5" t="s">
        <v>45</v>
      </c>
      <c r="C28" s="2">
        <v>0.37524999999999997</v>
      </c>
      <c r="D28" s="18">
        <f>_xlfn.NORM.INV(C28,16.7,7.03)</f>
        <v>14.464599600437783</v>
      </c>
      <c r="E28" s="18">
        <f>_xlfn.NORM.INV(C28,19.4,4.59)</f>
        <v>17.94047114736976</v>
      </c>
      <c r="F28" s="18"/>
      <c r="G28" s="18"/>
      <c r="H28" s="18"/>
      <c r="I28" s="18"/>
      <c r="J28" s="18"/>
      <c r="K28" s="18"/>
      <c r="L28" s="18"/>
      <c r="M28" s="18"/>
      <c r="N28" s="19"/>
    </row>
    <row r="29" spans="1:14" x14ac:dyDescent="0.25">
      <c r="A29" s="40"/>
      <c r="B29" s="5" t="s">
        <v>46</v>
      </c>
      <c r="C29" s="2">
        <v>9.5640000000000003E-2</v>
      </c>
      <c r="D29" s="18">
        <f>_xlfn.NORM.INV(C29,19.2,1.54)</f>
        <v>17.18752507522667</v>
      </c>
      <c r="E29" s="18"/>
      <c r="F29" s="18"/>
      <c r="G29" s="18"/>
      <c r="H29" s="18"/>
      <c r="I29" s="18"/>
      <c r="J29" s="18"/>
      <c r="K29" s="18"/>
      <c r="L29" s="18"/>
      <c r="M29" s="18"/>
      <c r="N29" s="19"/>
    </row>
    <row r="30" spans="1:14" x14ac:dyDescent="0.25">
      <c r="A30" s="40"/>
      <c r="B30" s="5" t="s">
        <v>47</v>
      </c>
      <c r="C30" s="2">
        <v>0.16303999999999999</v>
      </c>
      <c r="D30" s="18">
        <f>_xlfn.NORM.INV(C30,17.5,4.34)</f>
        <v>13.23794514424155</v>
      </c>
      <c r="E30" s="18"/>
      <c r="F30" s="18"/>
      <c r="G30" s="18"/>
      <c r="H30" s="18"/>
      <c r="I30" s="18"/>
      <c r="J30" s="18"/>
      <c r="K30" s="18"/>
      <c r="L30" s="18"/>
      <c r="M30" s="18"/>
      <c r="N30" s="19"/>
    </row>
    <row r="31" spans="1:14" x14ac:dyDescent="0.25">
      <c r="A31" s="40">
        <v>2033</v>
      </c>
      <c r="B31" s="5" t="s">
        <v>44</v>
      </c>
      <c r="C31" s="2">
        <v>0.56381999999999999</v>
      </c>
      <c r="D31" s="18">
        <f>_xlfn.NORM.INV(C31,19.7,8.15)</f>
        <v>21.009391369734217</v>
      </c>
      <c r="E31" s="18">
        <f>_xlfn.NORM.INV(C31,16.9,2.55)</f>
        <v>17.309686870284938</v>
      </c>
      <c r="F31" s="18"/>
      <c r="G31" s="18"/>
      <c r="H31" s="18"/>
      <c r="I31" s="18"/>
      <c r="J31" s="18"/>
      <c r="K31" s="18"/>
      <c r="L31" s="18"/>
      <c r="M31" s="18"/>
      <c r="N31" s="19"/>
    </row>
    <row r="32" spans="1:14" x14ac:dyDescent="0.25">
      <c r="A32" s="40"/>
      <c r="B32" s="5" t="s">
        <v>45</v>
      </c>
      <c r="C32" s="2">
        <v>0.34345999999999999</v>
      </c>
      <c r="D32" s="18">
        <f>_xlfn.NORM.INV(C32,16.7,7.03)</f>
        <v>13.866640281080565</v>
      </c>
      <c r="E32" s="18">
        <f>_xlfn.NORM.INV(C32,19.4,4.59)</f>
        <v>17.550053896182046</v>
      </c>
      <c r="F32" s="18"/>
      <c r="G32" s="18"/>
      <c r="H32" s="18"/>
      <c r="I32" s="18"/>
      <c r="J32" s="18"/>
      <c r="K32" s="18"/>
      <c r="L32" s="18"/>
      <c r="M32" s="18"/>
      <c r="N32" s="19"/>
    </row>
    <row r="33" spans="1:15" x14ac:dyDescent="0.25">
      <c r="A33" s="40"/>
      <c r="B33" s="5" t="s">
        <v>46</v>
      </c>
      <c r="C33" s="2">
        <v>0.23227</v>
      </c>
      <c r="D33" s="18">
        <f>_xlfn.NORM.INV(C33,19.2,1.54)</f>
        <v>18.073656949663512</v>
      </c>
      <c r="E33" s="18"/>
      <c r="F33" s="18"/>
      <c r="G33" s="18"/>
      <c r="H33" s="18"/>
      <c r="I33" s="18"/>
      <c r="J33" s="18"/>
      <c r="K33" s="18"/>
      <c r="L33" s="18"/>
      <c r="M33" s="18"/>
      <c r="N33" s="19"/>
    </row>
    <row r="34" spans="1:15" x14ac:dyDescent="0.25">
      <c r="A34" s="40"/>
      <c r="B34" s="5" t="s">
        <v>47</v>
      </c>
      <c r="C34" s="2">
        <v>0.44590999999999997</v>
      </c>
      <c r="D34" s="18">
        <f>_xlfn.NORM.INV(C34,17.5,4.34)</f>
        <v>16.909752967605485</v>
      </c>
      <c r="E34" s="18"/>
      <c r="F34" s="18"/>
      <c r="G34" s="18"/>
      <c r="H34" s="18"/>
      <c r="I34" s="18"/>
      <c r="J34" s="18"/>
      <c r="K34" s="18"/>
      <c r="L34" s="18"/>
      <c r="M34" s="18"/>
      <c r="N34" s="19"/>
    </row>
    <row r="35" spans="1:15" x14ac:dyDescent="0.25">
      <c r="A35" s="40">
        <v>2034</v>
      </c>
      <c r="B35" s="5" t="s">
        <v>44</v>
      </c>
      <c r="C35" s="2">
        <v>0.58508000000000004</v>
      </c>
      <c r="D35" s="18">
        <f>_xlfn.NORM.INV(C35,19.7,8.15)</f>
        <v>21.45149024362582</v>
      </c>
      <c r="E35" s="18">
        <f>_xlfn.NORM.INV(C35,16.9,2.55)</f>
        <v>17.448012284815441</v>
      </c>
      <c r="F35" s="18"/>
      <c r="G35" s="18"/>
      <c r="H35" s="18"/>
      <c r="I35" s="18"/>
      <c r="J35" s="18"/>
      <c r="K35" s="18"/>
      <c r="L35" s="18"/>
      <c r="M35" s="18"/>
      <c r="N35" s="19"/>
    </row>
    <row r="36" spans="1:15" x14ac:dyDescent="0.25">
      <c r="A36" s="40"/>
      <c r="B36" s="5" t="s">
        <v>45</v>
      </c>
      <c r="C36" s="2">
        <v>0.97019999999999995</v>
      </c>
      <c r="D36" s="18">
        <f>_xlfn.NORM.INV(C36,16.7,7.03)</f>
        <v>29.942700147194387</v>
      </c>
      <c r="E36" s="18">
        <f>_xlfn.NORM.INV(C36,19.4,4.59)</f>
        <v>28.046371788850955</v>
      </c>
      <c r="F36" s="18"/>
      <c r="G36" s="18"/>
      <c r="H36" s="18"/>
      <c r="I36" s="18"/>
      <c r="J36" s="18"/>
      <c r="K36" s="18"/>
      <c r="L36" s="18"/>
      <c r="M36" s="18"/>
      <c r="N36" s="19"/>
    </row>
    <row r="37" spans="1:15" x14ac:dyDescent="0.25">
      <c r="A37" s="40"/>
      <c r="B37" s="5" t="s">
        <v>46</v>
      </c>
      <c r="C37" s="2">
        <v>0.83725000000000005</v>
      </c>
      <c r="D37" s="18">
        <f>_xlfn.NORM.INV(C37,19.2,1.54)</f>
        <v>20.714156213248017</v>
      </c>
      <c r="E37" s="18"/>
      <c r="F37" s="18"/>
      <c r="G37" s="18"/>
      <c r="H37" s="18"/>
      <c r="I37" s="18"/>
      <c r="J37" s="18"/>
      <c r="K37" s="18"/>
      <c r="L37" s="18"/>
      <c r="M37" s="18"/>
      <c r="N37" s="19"/>
    </row>
    <row r="38" spans="1:15" x14ac:dyDescent="0.25">
      <c r="A38" s="40"/>
      <c r="B38" s="5" t="s">
        <v>47</v>
      </c>
      <c r="C38" s="2">
        <v>0.1205</v>
      </c>
      <c r="D38" s="18">
        <f>_xlfn.NORM.INV(C38,17.5,4.34)</f>
        <v>12.411389239680238</v>
      </c>
      <c r="E38" s="18"/>
      <c r="F38" s="18"/>
      <c r="G38" s="18"/>
      <c r="H38" s="18"/>
      <c r="I38" s="18"/>
      <c r="J38" s="18"/>
      <c r="K38" s="18"/>
      <c r="L38" s="18"/>
      <c r="M38" s="18"/>
      <c r="N38" s="19"/>
    </row>
    <row r="39" spans="1:15" x14ac:dyDescent="0.25">
      <c r="A39" s="40">
        <v>2035</v>
      </c>
      <c r="B39" s="5" t="s">
        <v>44</v>
      </c>
      <c r="C39" s="2">
        <v>0.93769999999999998</v>
      </c>
      <c r="D39" s="18">
        <f>_xlfn.NORM.INV(C39,19.7,8.15)</f>
        <v>32.216352765282316</v>
      </c>
      <c r="E39" s="18">
        <f>_xlfn.NORM.INV(C39,16.9,2.55)</f>
        <v>20.816159454168083</v>
      </c>
      <c r="F39" s="18"/>
      <c r="G39" s="18"/>
      <c r="H39" s="18"/>
      <c r="I39" s="18"/>
      <c r="J39" s="18"/>
      <c r="K39" s="18"/>
      <c r="L39" s="18"/>
      <c r="M39" s="18"/>
      <c r="N39" s="19"/>
    </row>
    <row r="40" spans="1:15" x14ac:dyDescent="0.25">
      <c r="A40" s="40"/>
      <c r="B40" s="5" t="s">
        <v>45</v>
      </c>
      <c r="C40" s="2">
        <v>5.9650000000000002E-2</v>
      </c>
      <c r="D40" s="18">
        <f>_xlfn.NORM.INV(C40,16.7,7.03)</f>
        <v>5.7492391508545921</v>
      </c>
      <c r="E40" s="18">
        <f>_xlfn.NORM.INV(C40,19.4,4.59)</f>
        <v>12.250072219405773</v>
      </c>
      <c r="F40" s="18"/>
      <c r="G40" s="18"/>
      <c r="H40" s="18"/>
      <c r="I40" s="18"/>
      <c r="J40" s="18"/>
      <c r="K40" s="18"/>
      <c r="L40" s="18"/>
      <c r="M40" s="18"/>
      <c r="N40" s="19"/>
    </row>
    <row r="41" spans="1:15" x14ac:dyDescent="0.25">
      <c r="A41" s="40"/>
      <c r="B41" s="5" t="s">
        <v>46</v>
      </c>
      <c r="C41" s="2">
        <v>0.67435</v>
      </c>
      <c r="D41" s="18">
        <f>_xlfn.NORM.INV(C41,19.2,1.54)</f>
        <v>19.896013694721201</v>
      </c>
      <c r="E41" s="18"/>
      <c r="F41" s="18"/>
      <c r="G41" s="18"/>
      <c r="H41" s="18"/>
      <c r="I41" s="18"/>
      <c r="J41" s="18"/>
      <c r="K41" s="18"/>
      <c r="L41" s="18"/>
      <c r="M41" s="18"/>
      <c r="N41" s="19"/>
    </row>
    <row r="42" spans="1:15" x14ac:dyDescent="0.25">
      <c r="A42" s="40"/>
      <c r="B42" s="5" t="s">
        <v>47</v>
      </c>
      <c r="C42" s="2">
        <v>0.23852999999999999</v>
      </c>
      <c r="D42" s="18">
        <f>_xlfn.NORM.INV(C42,17.5,4.34)</f>
        <v>14.414090259438627</v>
      </c>
      <c r="E42" s="18"/>
      <c r="F42" s="18"/>
      <c r="G42" s="18"/>
      <c r="H42" s="18"/>
      <c r="I42" s="18"/>
      <c r="J42" s="18"/>
      <c r="K42" s="18"/>
      <c r="L42" s="18"/>
      <c r="M42" s="18"/>
      <c r="N42" s="19"/>
    </row>
    <row r="43" spans="1:15" x14ac:dyDescent="0.25">
      <c r="A43" s="40">
        <v>2036</v>
      </c>
      <c r="B43" s="5" t="s">
        <v>44</v>
      </c>
      <c r="C43" s="2">
        <v>0.2858</v>
      </c>
      <c r="D43" s="18">
        <f>_xlfn.NORM.INV(C43,19.7,8.15)</f>
        <v>15.089572147549172</v>
      </c>
      <c r="E43" s="18">
        <f>_xlfn.NORM.INV(C43,16.9,2.55)</f>
        <v>15.457473494018451</v>
      </c>
      <c r="F43" s="18"/>
      <c r="G43" s="18"/>
      <c r="H43" s="18"/>
      <c r="I43" s="18"/>
      <c r="J43" s="18"/>
      <c r="K43" s="18"/>
      <c r="L43" s="18"/>
      <c r="M43" s="18"/>
      <c r="N43" s="19"/>
    </row>
    <row r="44" spans="1:15" x14ac:dyDescent="0.25">
      <c r="A44" s="40"/>
      <c r="B44" s="5" t="s">
        <v>45</v>
      </c>
      <c r="C44" s="2">
        <v>1.524E-2</v>
      </c>
      <c r="D44" s="18">
        <f>_xlfn.NORM.INV(C44,16.7,7.03)</f>
        <v>1.4885132709317759</v>
      </c>
      <c r="E44" s="18">
        <f>_xlfn.NORM.INV(C44,19.4,4.59)</f>
        <v>9.4681758056297074</v>
      </c>
      <c r="F44" s="18"/>
      <c r="G44" s="18"/>
      <c r="H44" s="18"/>
      <c r="I44" s="18"/>
      <c r="J44" s="18"/>
      <c r="K44" s="18"/>
      <c r="L44" s="18"/>
      <c r="M44" s="18"/>
      <c r="N44" s="19"/>
    </row>
    <row r="45" spans="1:15" x14ac:dyDescent="0.25">
      <c r="A45" s="40"/>
      <c r="B45" s="5" t="s">
        <v>46</v>
      </c>
      <c r="C45" s="2">
        <v>0.3528</v>
      </c>
      <c r="D45" s="18">
        <f>_xlfn.NORM.INV(C45,19.2,1.54)</f>
        <v>18.618231170206148</v>
      </c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6" spans="1:15" ht="15.75" thickBot="1" x14ac:dyDescent="0.3">
      <c r="A46" s="40"/>
      <c r="B46" s="22" t="s">
        <v>47</v>
      </c>
      <c r="C46" s="14">
        <v>0.14435000000000001</v>
      </c>
      <c r="D46" s="18">
        <f>_xlfn.NORM.INV(C46,17.5,4.34)</f>
        <v>12.895356441234949</v>
      </c>
      <c r="E46" s="20"/>
      <c r="F46" s="20"/>
      <c r="G46" s="20"/>
      <c r="H46" s="20"/>
      <c r="I46" s="20"/>
      <c r="J46" s="20"/>
      <c r="K46" s="20"/>
      <c r="L46" s="20"/>
      <c r="M46" s="20"/>
      <c r="N46" s="21"/>
      <c r="O46" s="32">
        <f>SUM(D3:N30)</f>
        <v>769.96790215207614</v>
      </c>
    </row>
    <row r="47" spans="1:15" x14ac:dyDescent="0.25">
      <c r="C47" s="17"/>
    </row>
    <row r="48" spans="1:15" x14ac:dyDescent="0.25">
      <c r="C48" s="17"/>
    </row>
  </sheetData>
  <mergeCells count="11">
    <mergeCell ref="A23:A26"/>
    <mergeCell ref="A3:A6"/>
    <mergeCell ref="A7:A10"/>
    <mergeCell ref="A11:A14"/>
    <mergeCell ref="A15:A18"/>
    <mergeCell ref="A19:A22"/>
    <mergeCell ref="A27:A30"/>
    <mergeCell ref="A31:A34"/>
    <mergeCell ref="A35:A38"/>
    <mergeCell ref="A39:A42"/>
    <mergeCell ref="A43:A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95FA-F9C0-4AA8-A2B2-EE56E93ED3D3}">
  <dimension ref="A1:AN206"/>
  <sheetViews>
    <sheetView zoomScale="60" zoomScaleNormal="60" workbookViewId="0">
      <selection activeCell="AU15" sqref="AU15"/>
    </sheetView>
  </sheetViews>
  <sheetFormatPr baseColWidth="10" defaultColWidth="9.140625" defaultRowHeight="15" x14ac:dyDescent="0.25"/>
  <cols>
    <col min="2" max="2" width="16.5703125" bestFit="1" customWidth="1"/>
    <col min="3" max="3" width="12" bestFit="1" customWidth="1"/>
    <col min="4" max="4" width="13" bestFit="1" customWidth="1"/>
    <col min="5" max="5" width="12.5703125" bestFit="1" customWidth="1"/>
    <col min="6" max="6" width="13.42578125" bestFit="1" customWidth="1"/>
    <col min="7" max="7" width="12.85546875" bestFit="1" customWidth="1"/>
    <col min="8" max="8" width="27.140625" bestFit="1" customWidth="1"/>
    <col min="9" max="9" width="26.42578125" bestFit="1" customWidth="1"/>
    <col min="10" max="10" width="15.85546875" bestFit="1" customWidth="1"/>
    <col min="11" max="11" width="13.85546875" bestFit="1" customWidth="1"/>
    <col min="12" max="12" width="17.7109375" bestFit="1" customWidth="1"/>
    <col min="13" max="13" width="20.5703125" bestFit="1" customWidth="1"/>
    <col min="14" max="14" width="13.5703125" bestFit="1" customWidth="1"/>
    <col min="15" max="15" width="13.140625" bestFit="1" customWidth="1"/>
    <col min="16" max="16" width="27.5703125" bestFit="1" customWidth="1"/>
    <col min="17" max="17" width="7.42578125" bestFit="1" customWidth="1"/>
    <col min="18" max="18" width="8.7109375" customWidth="1"/>
    <col min="19" max="19" width="12.85546875" bestFit="1" customWidth="1"/>
    <col min="20" max="20" width="27.140625" bestFit="1" customWidth="1"/>
    <col min="21" max="21" width="7.85546875" bestFit="1" customWidth="1"/>
    <col min="22" max="23" width="8.7109375" customWidth="1"/>
    <col min="24" max="24" width="27.140625" bestFit="1" customWidth="1"/>
    <col min="25" max="25" width="8.85546875" bestFit="1" customWidth="1"/>
    <col min="28" max="28" width="27.140625" bestFit="1" customWidth="1"/>
    <col min="29" max="29" width="7.85546875" bestFit="1" customWidth="1"/>
    <col min="32" max="32" width="27.140625" bestFit="1" customWidth="1"/>
    <col min="33" max="33" width="7.85546875" bestFit="1" customWidth="1"/>
    <col min="36" max="36" width="27.140625" bestFit="1" customWidth="1"/>
    <col min="37" max="37" width="7.85546875" customWidth="1"/>
  </cols>
  <sheetData>
    <row r="1" spans="2:40" x14ac:dyDescent="0.25">
      <c r="P1" s="41"/>
      <c r="Q1" s="41"/>
      <c r="T1" s="41"/>
      <c r="U1" s="41"/>
      <c r="X1" s="41"/>
      <c r="Y1" s="41"/>
      <c r="AB1" s="41"/>
      <c r="AC1" s="41"/>
      <c r="AF1" s="41"/>
      <c r="AG1" s="41"/>
    </row>
    <row r="2" spans="2:40" x14ac:dyDescent="0.25">
      <c r="D2" s="45" t="s">
        <v>85</v>
      </c>
      <c r="E2" s="45"/>
      <c r="F2" s="45"/>
      <c r="G2" s="45"/>
      <c r="H2" s="45"/>
      <c r="I2" s="45"/>
      <c r="J2" s="45"/>
      <c r="K2" s="45"/>
      <c r="L2" s="45"/>
      <c r="M2" s="45"/>
      <c r="N2" s="23"/>
      <c r="O2" s="23"/>
      <c r="P2" s="8"/>
      <c r="Q2" s="23"/>
      <c r="R2" s="23"/>
      <c r="S2" s="23"/>
      <c r="T2" s="8"/>
      <c r="U2" s="23"/>
      <c r="W2" s="23"/>
      <c r="X2" s="8"/>
      <c r="Y2" s="23"/>
      <c r="Z2" s="23"/>
      <c r="AA2" s="23"/>
      <c r="AB2" s="8"/>
      <c r="AC2" s="23"/>
      <c r="AD2" s="23"/>
      <c r="AE2" s="23"/>
      <c r="AF2" s="8"/>
      <c r="AG2" s="23"/>
      <c r="AH2" s="23"/>
      <c r="AL2" s="23"/>
      <c r="AM2" s="23"/>
      <c r="AN2" s="23"/>
    </row>
    <row r="3" spans="2:40" ht="14.45" customHeight="1" x14ac:dyDescent="0.25"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97</v>
      </c>
      <c r="L3" s="2" t="s">
        <v>71</v>
      </c>
      <c r="M3" s="2" t="s">
        <v>69</v>
      </c>
      <c r="N3" s="8"/>
      <c r="O3" s="33"/>
      <c r="P3" s="8"/>
      <c r="Q3" s="29"/>
      <c r="R3" s="8"/>
      <c r="S3" s="33"/>
      <c r="T3" s="8"/>
      <c r="U3" s="29"/>
      <c r="W3" s="33"/>
      <c r="X3" s="8"/>
      <c r="Y3" s="29"/>
      <c r="Z3" s="8"/>
      <c r="AA3" s="33"/>
      <c r="AB3" s="8"/>
      <c r="AC3" s="29"/>
      <c r="AD3" s="8"/>
      <c r="AE3" s="33"/>
      <c r="AF3" s="8"/>
      <c r="AG3" s="29"/>
      <c r="AH3" s="8"/>
      <c r="AL3" s="8"/>
      <c r="AM3" s="8"/>
      <c r="AN3" s="8"/>
    </row>
    <row r="4" spans="2:40" ht="14.45" customHeight="1" x14ac:dyDescent="0.25">
      <c r="B4" s="2" t="s">
        <v>99</v>
      </c>
      <c r="C4" s="2">
        <f>SUM(D4:M4)</f>
        <v>141</v>
      </c>
      <c r="D4" s="2">
        <v>4</v>
      </c>
      <c r="E4" s="2">
        <v>21</v>
      </c>
      <c r="F4" s="2">
        <v>14</v>
      </c>
      <c r="G4" s="2">
        <v>7</v>
      </c>
      <c r="H4" s="2">
        <v>16</v>
      </c>
      <c r="I4" s="2">
        <v>45</v>
      </c>
      <c r="J4" s="2">
        <v>18</v>
      </c>
      <c r="K4" s="2">
        <v>1</v>
      </c>
      <c r="L4" s="2">
        <v>15</v>
      </c>
      <c r="M4" s="2">
        <v>0</v>
      </c>
      <c r="N4" s="8"/>
      <c r="O4" s="33"/>
      <c r="P4" s="8"/>
      <c r="Q4" s="29"/>
      <c r="R4" s="8"/>
      <c r="S4" s="33"/>
      <c r="T4" s="8"/>
      <c r="U4" s="29"/>
      <c r="W4" s="33"/>
      <c r="X4" s="8"/>
      <c r="Y4" s="29"/>
      <c r="Z4" s="8"/>
      <c r="AA4" s="33"/>
      <c r="AB4" s="8"/>
      <c r="AC4" s="29"/>
      <c r="AD4" s="8"/>
      <c r="AE4" s="33"/>
      <c r="AF4" s="8"/>
      <c r="AG4" s="29"/>
      <c r="AH4" s="8"/>
      <c r="AL4" s="8"/>
      <c r="AM4" s="8"/>
      <c r="AN4" s="8"/>
    </row>
    <row r="5" spans="2:40" ht="14.45" customHeight="1" x14ac:dyDescent="0.25">
      <c r="B5" s="2" t="s">
        <v>73</v>
      </c>
      <c r="C5" s="2">
        <f t="shared" ref="C5:C8" si="0">SUM(D5:M5)</f>
        <v>113</v>
      </c>
      <c r="D5" s="2">
        <v>4</v>
      </c>
      <c r="E5" s="2">
        <v>23</v>
      </c>
      <c r="F5" s="2">
        <v>11</v>
      </c>
      <c r="G5" s="2">
        <v>6</v>
      </c>
      <c r="H5" s="2">
        <v>11</v>
      </c>
      <c r="I5" s="2">
        <v>18</v>
      </c>
      <c r="J5" s="2">
        <v>2</v>
      </c>
      <c r="K5" s="2">
        <v>28</v>
      </c>
      <c r="L5" s="2">
        <v>10</v>
      </c>
      <c r="M5" s="2">
        <v>0</v>
      </c>
      <c r="N5" s="8"/>
      <c r="O5" s="33"/>
      <c r="P5" s="8"/>
      <c r="Q5" s="29"/>
      <c r="R5" s="8"/>
      <c r="S5" s="33"/>
      <c r="T5" s="8"/>
      <c r="U5" s="29"/>
      <c r="W5" s="33"/>
      <c r="X5" s="8"/>
      <c r="Y5" s="29"/>
      <c r="Z5" s="8"/>
      <c r="AA5" s="33"/>
      <c r="AB5" s="8"/>
      <c r="AC5" s="29"/>
      <c r="AD5" s="8"/>
      <c r="AE5" s="33"/>
      <c r="AF5" s="8"/>
      <c r="AG5" s="29"/>
      <c r="AH5" s="8"/>
      <c r="AL5" s="8"/>
      <c r="AM5" s="8"/>
      <c r="AN5" s="8"/>
    </row>
    <row r="6" spans="2:40" ht="14.45" customHeight="1" x14ac:dyDescent="0.25">
      <c r="B6" s="2" t="s">
        <v>74</v>
      </c>
      <c r="C6" s="2">
        <f t="shared" si="0"/>
        <v>103</v>
      </c>
      <c r="D6" s="2">
        <v>2</v>
      </c>
      <c r="E6" s="2">
        <v>27</v>
      </c>
      <c r="F6" s="2">
        <v>9</v>
      </c>
      <c r="G6" s="2">
        <v>6</v>
      </c>
      <c r="H6" s="2">
        <v>14</v>
      </c>
      <c r="I6" s="2">
        <v>25</v>
      </c>
      <c r="J6" s="2">
        <v>10</v>
      </c>
      <c r="K6" s="2">
        <v>6</v>
      </c>
      <c r="L6" s="2">
        <v>4</v>
      </c>
      <c r="M6" s="2">
        <v>0</v>
      </c>
      <c r="N6" s="8"/>
      <c r="O6" s="33"/>
      <c r="P6" s="8"/>
      <c r="Q6" s="29"/>
      <c r="R6" s="8"/>
      <c r="S6" s="33"/>
      <c r="T6" s="8"/>
      <c r="U6" s="29"/>
      <c r="W6" s="33"/>
      <c r="X6" s="8"/>
      <c r="Y6" s="29"/>
      <c r="Z6" s="8"/>
      <c r="AA6" s="33"/>
      <c r="AB6" s="8"/>
      <c r="AC6" s="29"/>
      <c r="AD6" s="8"/>
      <c r="AE6" s="33"/>
      <c r="AF6" s="8"/>
      <c r="AG6" s="29"/>
      <c r="AH6" s="8"/>
      <c r="AL6" s="8"/>
      <c r="AM6" s="8"/>
      <c r="AN6" s="8"/>
    </row>
    <row r="7" spans="2:40" ht="14.45" customHeight="1" x14ac:dyDescent="0.25">
      <c r="B7" s="2" t="s">
        <v>75</v>
      </c>
      <c r="C7" s="2">
        <f t="shared" si="0"/>
        <v>104</v>
      </c>
      <c r="D7" s="2">
        <v>2</v>
      </c>
      <c r="E7" s="2">
        <v>25</v>
      </c>
      <c r="F7" s="2">
        <v>10</v>
      </c>
      <c r="G7" s="2">
        <v>8</v>
      </c>
      <c r="H7" s="2">
        <v>15</v>
      </c>
      <c r="I7" s="2">
        <v>32</v>
      </c>
      <c r="J7" s="2">
        <v>4</v>
      </c>
      <c r="K7" s="2">
        <v>6</v>
      </c>
      <c r="L7" s="2">
        <v>2</v>
      </c>
      <c r="M7" s="2">
        <v>0</v>
      </c>
      <c r="N7" s="8"/>
      <c r="O7" s="33"/>
      <c r="P7" s="8"/>
      <c r="Q7" s="29"/>
      <c r="R7" s="8"/>
      <c r="S7" s="33"/>
      <c r="T7" s="8"/>
      <c r="U7" s="29"/>
      <c r="W7" s="33"/>
      <c r="X7" s="8"/>
      <c r="Y7" s="29"/>
      <c r="Z7" s="8"/>
      <c r="AA7" s="33"/>
      <c r="AB7" s="8"/>
      <c r="AC7" s="29"/>
      <c r="AD7" s="8"/>
      <c r="AE7" s="33"/>
      <c r="AF7" s="8"/>
      <c r="AG7" s="29"/>
      <c r="AH7" s="8"/>
      <c r="AL7" s="8"/>
      <c r="AM7" s="8"/>
      <c r="AN7" s="8"/>
    </row>
    <row r="8" spans="2:40" ht="14.45" customHeight="1" x14ac:dyDescent="0.25">
      <c r="B8" s="2" t="s">
        <v>76</v>
      </c>
      <c r="C8" s="2">
        <f t="shared" si="0"/>
        <v>103</v>
      </c>
      <c r="D8" s="2">
        <v>3</v>
      </c>
      <c r="E8" s="2">
        <v>24</v>
      </c>
      <c r="F8" s="2">
        <v>11</v>
      </c>
      <c r="G8" s="2">
        <v>5</v>
      </c>
      <c r="H8" s="2">
        <v>13</v>
      </c>
      <c r="I8" s="2">
        <v>35</v>
      </c>
      <c r="J8" s="2">
        <v>1</v>
      </c>
      <c r="K8" s="2">
        <v>10</v>
      </c>
      <c r="L8" s="2">
        <v>1</v>
      </c>
      <c r="M8" s="2">
        <v>0</v>
      </c>
      <c r="N8" s="8"/>
      <c r="O8" s="33"/>
      <c r="P8" s="8"/>
      <c r="Q8" s="29"/>
      <c r="R8" s="8"/>
      <c r="S8" s="33"/>
      <c r="T8" s="8"/>
      <c r="U8" s="29"/>
      <c r="W8" s="33"/>
      <c r="X8" s="8"/>
      <c r="Y8" s="29"/>
      <c r="Z8" s="8"/>
      <c r="AA8" s="33"/>
      <c r="AB8" s="8"/>
      <c r="AC8" s="29"/>
      <c r="AD8" s="8"/>
      <c r="AE8" s="33"/>
      <c r="AF8" s="8"/>
      <c r="AG8" s="29"/>
      <c r="AH8" s="8"/>
      <c r="AL8" s="8"/>
      <c r="AM8" s="8"/>
      <c r="AN8" s="8"/>
    </row>
    <row r="9" spans="2:40" ht="14.45" customHeight="1" x14ac:dyDescent="0.25">
      <c r="C9" s="7">
        <f>SUM(C4:C8)</f>
        <v>564</v>
      </c>
      <c r="D9">
        <f>SUM(D4:D8)</f>
        <v>15</v>
      </c>
      <c r="E9" s="8">
        <f>SUM(E4:E8)</f>
        <v>120</v>
      </c>
      <c r="F9" s="8">
        <f t="shared" ref="F9:M9" si="1">SUM(F4:F8)</f>
        <v>55</v>
      </c>
      <c r="G9" s="8">
        <f t="shared" si="1"/>
        <v>32</v>
      </c>
      <c r="H9" s="8">
        <f t="shared" si="1"/>
        <v>69</v>
      </c>
      <c r="I9" s="8">
        <f t="shared" si="1"/>
        <v>155</v>
      </c>
      <c r="J9" s="8">
        <f t="shared" si="1"/>
        <v>35</v>
      </c>
      <c r="K9" s="8">
        <f t="shared" si="1"/>
        <v>51</v>
      </c>
      <c r="L9" s="8">
        <f t="shared" si="1"/>
        <v>32</v>
      </c>
      <c r="M9" s="8">
        <f t="shared" si="1"/>
        <v>0</v>
      </c>
      <c r="O9" s="33"/>
      <c r="P9" s="8"/>
      <c r="Q9" s="29"/>
      <c r="S9" s="33"/>
      <c r="T9" s="8"/>
      <c r="U9" s="29"/>
      <c r="W9" s="33"/>
      <c r="X9" s="8"/>
      <c r="Y9" s="29"/>
      <c r="AA9" s="33"/>
      <c r="AB9" s="8"/>
      <c r="AC9" s="29"/>
      <c r="AE9" s="33"/>
      <c r="AF9" s="8"/>
      <c r="AG9" s="29"/>
    </row>
    <row r="10" spans="2:40" ht="14.45" customHeight="1" x14ac:dyDescent="0.25">
      <c r="O10" s="33"/>
      <c r="P10" s="8"/>
      <c r="Q10" s="29"/>
      <c r="S10" s="33"/>
      <c r="T10" s="8"/>
      <c r="U10" s="29"/>
      <c r="W10" s="33"/>
      <c r="X10" s="8"/>
      <c r="Y10" s="29"/>
      <c r="AA10" s="33"/>
      <c r="AB10" s="8"/>
      <c r="AC10" s="29"/>
      <c r="AE10" s="33"/>
      <c r="AF10" s="8"/>
      <c r="AG10" s="29"/>
    </row>
    <row r="11" spans="2:40" ht="14.45" customHeight="1" x14ac:dyDescent="0.25">
      <c r="O11" s="33"/>
      <c r="P11" s="8"/>
      <c r="Q11" s="29"/>
      <c r="S11" s="33"/>
      <c r="T11" s="8"/>
      <c r="U11" s="29"/>
      <c r="W11" s="33"/>
      <c r="X11" s="8"/>
      <c r="Y11" s="29"/>
      <c r="AA11" s="33"/>
      <c r="AB11" s="8"/>
      <c r="AC11" s="29"/>
      <c r="AE11" s="33"/>
      <c r="AF11" s="8"/>
      <c r="AG11" s="29"/>
    </row>
    <row r="12" spans="2:40" ht="14.45" customHeight="1" x14ac:dyDescent="0.25">
      <c r="O12" s="33"/>
      <c r="P12" s="8"/>
      <c r="Q12" s="29"/>
      <c r="S12" s="33"/>
      <c r="T12" s="8"/>
      <c r="U12" s="29"/>
      <c r="W12" s="33"/>
      <c r="X12" s="8"/>
      <c r="Y12" s="29"/>
      <c r="AA12" s="33"/>
      <c r="AB12" s="8"/>
      <c r="AC12" s="29"/>
      <c r="AE12" s="33"/>
      <c r="AF12" s="8"/>
      <c r="AG12" s="29"/>
    </row>
    <row r="13" spans="2:40" ht="15.75" thickBot="1" x14ac:dyDescent="0.3">
      <c r="D13" s="45" t="s">
        <v>86</v>
      </c>
      <c r="E13" s="45"/>
      <c r="F13" s="45"/>
      <c r="G13" s="45"/>
      <c r="H13" s="45"/>
      <c r="I13" s="45"/>
      <c r="J13" s="45"/>
      <c r="K13" s="45"/>
      <c r="L13" s="45"/>
      <c r="M13" s="45"/>
      <c r="N13" s="23"/>
      <c r="O13" s="23"/>
      <c r="P13" s="8"/>
      <c r="Q13" s="29"/>
      <c r="R13" s="23"/>
      <c r="S13" s="23"/>
      <c r="T13" s="8"/>
      <c r="U13" s="29"/>
      <c r="W13" s="23"/>
      <c r="X13" s="8"/>
      <c r="Y13" s="29"/>
      <c r="Z13" s="23"/>
      <c r="AA13" s="23"/>
      <c r="AB13" s="8"/>
      <c r="AC13" s="29"/>
      <c r="AD13" s="23"/>
      <c r="AE13" s="23"/>
      <c r="AF13" s="8"/>
      <c r="AG13" s="29"/>
      <c r="AH13" s="23"/>
      <c r="AL13" s="23"/>
      <c r="AM13" s="23"/>
      <c r="AN13" s="23"/>
    </row>
    <row r="14" spans="2:40" ht="15.75" thickBot="1" x14ac:dyDescent="0.3">
      <c r="B14" s="15" t="s">
        <v>60</v>
      </c>
      <c r="C14" s="16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67</v>
      </c>
      <c r="J14" s="2" t="s">
        <v>68</v>
      </c>
      <c r="K14" s="2" t="s">
        <v>97</v>
      </c>
      <c r="L14" s="2" t="s">
        <v>71</v>
      </c>
      <c r="M14" s="2" t="s">
        <v>69</v>
      </c>
      <c r="N14" s="8"/>
      <c r="O14" s="8"/>
      <c r="P14" s="8"/>
      <c r="Q14" s="8"/>
      <c r="R14" s="8"/>
      <c r="S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2:40" ht="15.75" thickBot="1" x14ac:dyDescent="0.3">
      <c r="B15" s="9" t="s">
        <v>77</v>
      </c>
      <c r="C15" s="10">
        <f>SUM(D15:M15)</f>
        <v>66</v>
      </c>
      <c r="D15" s="2">
        <v>5</v>
      </c>
      <c r="E15" s="2">
        <v>8</v>
      </c>
      <c r="F15" s="2">
        <v>10</v>
      </c>
      <c r="G15" s="2">
        <v>0</v>
      </c>
      <c r="H15" s="2">
        <v>22</v>
      </c>
      <c r="I15" s="2">
        <v>17</v>
      </c>
      <c r="J15" s="2">
        <v>0</v>
      </c>
      <c r="K15" s="2">
        <v>1</v>
      </c>
      <c r="L15" s="2">
        <v>2</v>
      </c>
      <c r="M15" s="2">
        <v>1</v>
      </c>
      <c r="N15" s="8"/>
      <c r="O15" s="8"/>
      <c r="P15" s="8"/>
      <c r="Q15" s="8"/>
      <c r="R15" s="8"/>
      <c r="S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2:40" ht="15.75" thickBot="1" x14ac:dyDescent="0.3">
      <c r="B16" s="12" t="s">
        <v>58</v>
      </c>
      <c r="C16" s="10">
        <f t="shared" ref="C16:C20" si="2">SUM(D16:M16)</f>
        <v>41</v>
      </c>
      <c r="D16" s="2">
        <v>0</v>
      </c>
      <c r="E16" s="2">
        <v>1</v>
      </c>
      <c r="F16" s="2">
        <v>2</v>
      </c>
      <c r="G16" s="2">
        <v>6</v>
      </c>
      <c r="H16" s="2">
        <v>9</v>
      </c>
      <c r="I16" s="2">
        <v>19</v>
      </c>
      <c r="J16" s="2">
        <v>0</v>
      </c>
      <c r="K16" s="2">
        <v>1</v>
      </c>
      <c r="L16" s="2">
        <v>3</v>
      </c>
      <c r="M16" s="2">
        <v>0</v>
      </c>
      <c r="N16" s="8"/>
      <c r="P16" s="41"/>
      <c r="Q16" s="41"/>
      <c r="T16" s="41"/>
      <c r="U16" s="41"/>
      <c r="X16" s="41"/>
      <c r="Y16" s="41"/>
      <c r="AB16" s="41"/>
      <c r="AC16" s="41"/>
      <c r="AF16" s="41"/>
      <c r="AG16" s="41"/>
      <c r="AH16" s="8"/>
      <c r="AJ16" s="41"/>
      <c r="AK16" s="41"/>
      <c r="AL16" s="8"/>
      <c r="AM16" s="8"/>
      <c r="AN16" s="8"/>
    </row>
    <row r="17" spans="2:40" ht="15.75" thickBot="1" x14ac:dyDescent="0.3">
      <c r="B17" s="12" t="s">
        <v>56</v>
      </c>
      <c r="C17" s="10">
        <f t="shared" si="2"/>
        <v>22</v>
      </c>
      <c r="D17" s="2">
        <v>1</v>
      </c>
      <c r="E17" s="2">
        <v>4</v>
      </c>
      <c r="F17" s="2">
        <v>2</v>
      </c>
      <c r="G17" s="2">
        <v>5</v>
      </c>
      <c r="H17" s="2">
        <v>6</v>
      </c>
      <c r="I17" s="2">
        <v>3</v>
      </c>
      <c r="J17" s="2">
        <v>0</v>
      </c>
      <c r="K17" s="2">
        <v>0</v>
      </c>
      <c r="L17" s="2">
        <v>0</v>
      </c>
      <c r="M17" s="2">
        <v>1</v>
      </c>
      <c r="N17" s="8"/>
      <c r="O17" s="23"/>
      <c r="P17" s="8"/>
      <c r="Q17" s="23"/>
      <c r="R17" s="23"/>
      <c r="S17" s="23"/>
      <c r="T17" s="8"/>
      <c r="U17" s="23"/>
      <c r="W17" s="23"/>
      <c r="X17" s="8"/>
      <c r="Y17" s="23"/>
      <c r="Z17" s="23"/>
      <c r="AA17" s="23"/>
      <c r="AB17" s="8"/>
      <c r="AC17" s="23"/>
      <c r="AD17" s="23"/>
      <c r="AE17" s="23"/>
      <c r="AF17" s="8"/>
      <c r="AG17" s="23"/>
      <c r="AH17" s="8"/>
      <c r="AI17" s="23"/>
      <c r="AJ17" s="8"/>
      <c r="AK17" s="23"/>
      <c r="AL17" s="8"/>
      <c r="AM17" s="8"/>
      <c r="AN17" s="8"/>
    </row>
    <row r="18" spans="2:40" ht="15" customHeight="1" thickBot="1" x14ac:dyDescent="0.3">
      <c r="B18" s="12" t="s">
        <v>78</v>
      </c>
      <c r="C18" s="10">
        <f t="shared" si="2"/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8"/>
      <c r="O18" s="33"/>
      <c r="P18" s="8"/>
      <c r="Q18" s="29"/>
      <c r="R18" s="8"/>
      <c r="S18" s="33"/>
      <c r="T18" s="8"/>
      <c r="U18" s="29"/>
      <c r="W18" s="33"/>
      <c r="X18" s="8"/>
      <c r="Y18" s="29"/>
      <c r="Z18" s="8"/>
      <c r="AA18" s="33"/>
      <c r="AB18" s="8"/>
      <c r="AC18" s="29"/>
      <c r="AD18" s="8"/>
      <c r="AE18" s="33"/>
      <c r="AF18" s="8"/>
      <c r="AG18" s="29"/>
      <c r="AH18" s="8"/>
      <c r="AI18" s="33"/>
      <c r="AJ18" s="8"/>
      <c r="AK18" s="29"/>
      <c r="AL18" s="8"/>
      <c r="AM18" s="8"/>
      <c r="AN18" s="8"/>
    </row>
    <row r="19" spans="2:40" ht="15" customHeight="1" thickBot="1" x14ac:dyDescent="0.3">
      <c r="B19" s="12" t="s">
        <v>59</v>
      </c>
      <c r="C19" s="10">
        <f t="shared" si="2"/>
        <v>16</v>
      </c>
      <c r="D19" s="2">
        <v>0</v>
      </c>
      <c r="E19" s="2">
        <v>0</v>
      </c>
      <c r="F19" s="2">
        <v>1</v>
      </c>
      <c r="G19" s="2">
        <v>5</v>
      </c>
      <c r="H19" s="2">
        <v>5</v>
      </c>
      <c r="I19" s="2">
        <v>5</v>
      </c>
      <c r="J19" s="2">
        <v>0</v>
      </c>
      <c r="K19" s="2">
        <v>0</v>
      </c>
      <c r="L19" s="2">
        <v>0</v>
      </c>
      <c r="M19" s="2">
        <v>0</v>
      </c>
      <c r="N19" s="8"/>
      <c r="O19" s="33"/>
      <c r="P19" s="8"/>
      <c r="Q19" s="29"/>
      <c r="R19" s="8"/>
      <c r="S19" s="33"/>
      <c r="T19" s="8"/>
      <c r="U19" s="29"/>
      <c r="W19" s="33"/>
      <c r="X19" s="8"/>
      <c r="Y19" s="29"/>
      <c r="Z19" s="8"/>
      <c r="AA19" s="33"/>
      <c r="AB19" s="8"/>
      <c r="AC19" s="29"/>
      <c r="AD19" s="8"/>
      <c r="AE19" s="33"/>
      <c r="AF19" s="8"/>
      <c r="AG19" s="29"/>
      <c r="AH19" s="8"/>
      <c r="AI19" s="33"/>
      <c r="AJ19" s="8"/>
      <c r="AK19" s="29"/>
      <c r="AL19" s="8"/>
      <c r="AM19" s="8"/>
      <c r="AN19" s="8"/>
    </row>
    <row r="20" spans="2:40" ht="15" customHeight="1" thickBot="1" x14ac:dyDescent="0.3">
      <c r="B20" s="13" t="s">
        <v>79</v>
      </c>
      <c r="C20" s="10">
        <f t="shared" si="2"/>
        <v>48</v>
      </c>
      <c r="D20" s="2">
        <v>1</v>
      </c>
      <c r="E20" s="2">
        <v>12</v>
      </c>
      <c r="F20" s="2">
        <v>11</v>
      </c>
      <c r="G20" s="2">
        <v>4</v>
      </c>
      <c r="H20" s="2">
        <v>4</v>
      </c>
      <c r="I20" s="2">
        <v>14</v>
      </c>
      <c r="J20" s="2">
        <v>2</v>
      </c>
      <c r="K20" s="2">
        <v>0</v>
      </c>
      <c r="L20" s="2">
        <v>0</v>
      </c>
      <c r="M20" s="2">
        <v>0</v>
      </c>
      <c r="N20" s="8"/>
      <c r="O20" s="33"/>
      <c r="P20" s="8"/>
      <c r="Q20" s="29"/>
      <c r="R20" s="8"/>
      <c r="S20" s="33"/>
      <c r="T20" s="8"/>
      <c r="U20" s="29"/>
      <c r="W20" s="33"/>
      <c r="X20" s="8"/>
      <c r="Y20" s="29"/>
      <c r="Z20" s="8"/>
      <c r="AA20" s="33"/>
      <c r="AB20" s="8"/>
      <c r="AC20" s="29"/>
      <c r="AD20" s="8"/>
      <c r="AE20" s="33"/>
      <c r="AF20" s="8"/>
      <c r="AG20" s="29"/>
      <c r="AH20" s="8"/>
      <c r="AI20" s="33"/>
      <c r="AJ20" s="8"/>
      <c r="AK20" s="29"/>
      <c r="AL20" s="8"/>
      <c r="AM20" s="8"/>
      <c r="AN20" s="8"/>
    </row>
    <row r="21" spans="2:40" ht="14.45" customHeight="1" x14ac:dyDescent="0.25">
      <c r="C21" s="7">
        <f>SUM(C15:C20)</f>
        <v>193</v>
      </c>
      <c r="D21" s="8">
        <f>SUM(D15:D20)</f>
        <v>7</v>
      </c>
      <c r="E21" s="8">
        <f t="shared" ref="E21:M21" si="3">SUM(E15:E20)</f>
        <v>25</v>
      </c>
      <c r="F21" s="8">
        <f t="shared" si="3"/>
        <v>26</v>
      </c>
      <c r="G21" s="8">
        <f t="shared" si="3"/>
        <v>20</v>
      </c>
      <c r="H21" s="8">
        <f t="shared" si="3"/>
        <v>46</v>
      </c>
      <c r="I21" s="8">
        <f t="shared" si="3"/>
        <v>58</v>
      </c>
      <c r="J21" s="8">
        <f t="shared" si="3"/>
        <v>2</v>
      </c>
      <c r="K21" s="8">
        <f t="shared" si="3"/>
        <v>2</v>
      </c>
      <c r="L21" s="8">
        <f t="shared" si="3"/>
        <v>5</v>
      </c>
      <c r="M21" s="8">
        <f t="shared" si="3"/>
        <v>2</v>
      </c>
      <c r="O21" s="33"/>
      <c r="P21" s="8"/>
      <c r="Q21" s="29"/>
      <c r="R21" s="8"/>
      <c r="S21" s="33"/>
      <c r="T21" s="8"/>
      <c r="U21" s="29"/>
      <c r="W21" s="33"/>
      <c r="X21" s="8"/>
      <c r="Y21" s="29"/>
      <c r="Z21" s="8"/>
      <c r="AA21" s="33"/>
      <c r="AB21" s="8"/>
      <c r="AC21" s="29"/>
      <c r="AD21" s="8"/>
      <c r="AE21" s="33"/>
      <c r="AF21" s="8"/>
      <c r="AG21" s="29"/>
      <c r="AI21" s="33"/>
      <c r="AJ21" s="8"/>
      <c r="AK21" s="29"/>
    </row>
    <row r="22" spans="2:40" ht="14.45" customHeight="1" x14ac:dyDescent="0.25">
      <c r="O22" s="33"/>
      <c r="P22" s="8"/>
      <c r="Q22" s="29"/>
      <c r="R22" s="8"/>
      <c r="S22" s="33"/>
      <c r="T22" s="8"/>
      <c r="U22" s="29"/>
      <c r="W22" s="33"/>
      <c r="X22" s="8"/>
      <c r="Y22" s="29"/>
      <c r="Z22" s="8"/>
      <c r="AA22" s="33"/>
      <c r="AB22" s="8"/>
      <c r="AC22" s="29"/>
      <c r="AD22" s="8"/>
      <c r="AE22" s="33"/>
      <c r="AF22" s="8"/>
      <c r="AG22" s="29"/>
      <c r="AI22" s="33"/>
      <c r="AJ22" s="8"/>
      <c r="AK22" s="29"/>
    </row>
    <row r="23" spans="2:40" ht="14.45" customHeight="1" x14ac:dyDescent="0.25">
      <c r="O23" s="33"/>
      <c r="P23" s="8"/>
      <c r="Q23" s="29"/>
      <c r="R23" s="8"/>
      <c r="S23" s="33"/>
      <c r="T23" s="8"/>
      <c r="U23" s="29"/>
      <c r="W23" s="33"/>
      <c r="X23" s="8"/>
      <c r="Y23" s="29"/>
      <c r="Z23" s="8"/>
      <c r="AA23" s="33"/>
      <c r="AB23" s="8"/>
      <c r="AC23" s="29"/>
      <c r="AD23" s="8"/>
      <c r="AE23" s="33"/>
      <c r="AF23" s="8"/>
      <c r="AG23" s="29"/>
      <c r="AI23" s="33"/>
      <c r="AJ23" s="8"/>
      <c r="AK23" s="29"/>
    </row>
    <row r="24" spans="2:40" ht="14.45" customHeight="1" x14ac:dyDescent="0.25">
      <c r="O24" s="33"/>
      <c r="P24" s="8"/>
      <c r="Q24" s="29"/>
      <c r="S24" s="33"/>
      <c r="T24" s="8"/>
      <c r="U24" s="29"/>
      <c r="W24" s="33"/>
      <c r="X24" s="8"/>
      <c r="Y24" s="29"/>
      <c r="AA24" s="33"/>
      <c r="AB24" s="8"/>
      <c r="AC24" s="29"/>
      <c r="AE24" s="33"/>
      <c r="AF24" s="8"/>
      <c r="AG24" s="29"/>
      <c r="AI24" s="33"/>
      <c r="AJ24" s="8"/>
      <c r="AK24" s="29"/>
    </row>
    <row r="25" spans="2:40" ht="14.45" customHeight="1" x14ac:dyDescent="0.25">
      <c r="O25" s="33"/>
      <c r="P25" s="8"/>
      <c r="Q25" s="29"/>
      <c r="S25" s="33"/>
      <c r="T25" s="8"/>
      <c r="U25" s="29"/>
      <c r="W25" s="33"/>
      <c r="X25" s="8"/>
      <c r="Y25" s="29"/>
      <c r="AA25" s="33"/>
      <c r="AB25" s="8"/>
      <c r="AC25" s="29"/>
      <c r="AE25" s="33"/>
      <c r="AF25" s="8"/>
      <c r="AG25" s="29"/>
      <c r="AI25" s="33"/>
      <c r="AJ25" s="8"/>
      <c r="AK25" s="29"/>
    </row>
    <row r="26" spans="2:40" ht="15" customHeight="1" thickBot="1" x14ac:dyDescent="0.3">
      <c r="D26" s="45" t="s">
        <v>87</v>
      </c>
      <c r="E26" s="45"/>
      <c r="F26" s="45"/>
      <c r="G26" s="45"/>
      <c r="H26" s="45"/>
      <c r="I26" s="45"/>
      <c r="J26" s="45"/>
      <c r="K26" s="45"/>
      <c r="L26" s="45"/>
      <c r="M26" s="45"/>
      <c r="N26" s="23"/>
      <c r="O26" s="33"/>
      <c r="P26" s="8"/>
      <c r="Q26" s="29"/>
      <c r="S26" s="33"/>
      <c r="T26" s="8"/>
      <c r="U26" s="29"/>
      <c r="W26" s="33"/>
      <c r="X26" s="8"/>
      <c r="Y26" s="29"/>
      <c r="AA26" s="33"/>
      <c r="AB26" s="8"/>
      <c r="AC26" s="29"/>
      <c r="AE26" s="33"/>
      <c r="AF26" s="8"/>
      <c r="AG26" s="29"/>
      <c r="AI26" s="33"/>
      <c r="AJ26" s="8"/>
      <c r="AK26" s="29"/>
    </row>
    <row r="27" spans="2:40" ht="14.45" customHeight="1" x14ac:dyDescent="0.25">
      <c r="B27" s="15" t="s">
        <v>60</v>
      </c>
      <c r="C27" s="16" t="s">
        <v>61</v>
      </c>
      <c r="D27" s="2" t="s">
        <v>62</v>
      </c>
      <c r="E27" s="2" t="s">
        <v>63</v>
      </c>
      <c r="F27" s="2" t="s">
        <v>64</v>
      </c>
      <c r="G27" s="2" t="s">
        <v>65</v>
      </c>
      <c r="H27" s="2" t="s">
        <v>66</v>
      </c>
      <c r="I27" s="2" t="s">
        <v>67</v>
      </c>
      <c r="J27" s="2" t="s">
        <v>68</v>
      </c>
      <c r="K27" s="2" t="s">
        <v>97</v>
      </c>
      <c r="L27" s="2" t="s">
        <v>71</v>
      </c>
      <c r="M27" s="2" t="s">
        <v>69</v>
      </c>
      <c r="N27" s="8"/>
      <c r="O27" s="33"/>
      <c r="P27" s="8"/>
      <c r="Q27" s="29"/>
      <c r="S27" s="33"/>
      <c r="T27" s="8"/>
      <c r="U27" s="29"/>
      <c r="W27" s="33"/>
      <c r="X27" s="8"/>
      <c r="Y27" s="29"/>
      <c r="AA27" s="33"/>
      <c r="AB27" s="8"/>
      <c r="AC27" s="29"/>
      <c r="AE27" s="33"/>
      <c r="AF27" s="8"/>
      <c r="AG27" s="29"/>
      <c r="AI27" s="33"/>
      <c r="AJ27" s="8"/>
      <c r="AK27" s="29"/>
    </row>
    <row r="28" spans="2:40" x14ac:dyDescent="0.25">
      <c r="B28" s="2" t="s">
        <v>98</v>
      </c>
      <c r="C28" s="2">
        <f>SUM(D28:M28)</f>
        <v>68</v>
      </c>
      <c r="D28" s="2">
        <v>3</v>
      </c>
      <c r="E28" s="2">
        <v>7</v>
      </c>
      <c r="F28" s="2">
        <v>4</v>
      </c>
      <c r="G28" s="2">
        <v>2</v>
      </c>
      <c r="H28" s="2">
        <v>12</v>
      </c>
      <c r="I28" s="2">
        <v>18</v>
      </c>
      <c r="J28" s="2">
        <v>11</v>
      </c>
      <c r="K28" s="2">
        <v>8</v>
      </c>
      <c r="L28" s="2">
        <v>3</v>
      </c>
      <c r="M28" s="2">
        <v>0</v>
      </c>
      <c r="N28" s="8"/>
      <c r="O28" s="23"/>
      <c r="P28" s="8"/>
      <c r="Q28" s="29"/>
      <c r="R28" s="23"/>
      <c r="S28" s="23"/>
      <c r="T28" s="8"/>
      <c r="U28" s="29"/>
      <c r="W28" s="23"/>
      <c r="X28" s="8"/>
      <c r="Y28" s="29"/>
      <c r="Z28" s="23"/>
      <c r="AA28" s="23"/>
      <c r="AB28" s="8"/>
      <c r="AC28" s="29"/>
      <c r="AD28" s="23"/>
      <c r="AE28" s="23"/>
      <c r="AF28" s="8"/>
      <c r="AG28" s="29"/>
      <c r="AI28" s="23"/>
      <c r="AJ28" s="8"/>
      <c r="AK28" s="29"/>
    </row>
    <row r="29" spans="2:40" x14ac:dyDescent="0.25">
      <c r="B29" s="2" t="s">
        <v>73</v>
      </c>
      <c r="C29" s="2">
        <f t="shared" ref="C29:C32" si="4">SUM(D29:M29)</f>
        <v>63</v>
      </c>
      <c r="D29" s="2">
        <v>4</v>
      </c>
      <c r="E29" s="2">
        <v>20</v>
      </c>
      <c r="F29" s="2">
        <v>8</v>
      </c>
      <c r="G29" s="2">
        <v>5</v>
      </c>
      <c r="H29" s="2">
        <v>10</v>
      </c>
      <c r="I29" s="2">
        <v>8</v>
      </c>
      <c r="J29" s="2">
        <v>3</v>
      </c>
      <c r="K29" s="2">
        <v>1</v>
      </c>
      <c r="L29" s="2">
        <v>4</v>
      </c>
      <c r="M29" s="2">
        <v>0</v>
      </c>
      <c r="N29" s="8"/>
      <c r="O29" s="8"/>
      <c r="P29" s="8"/>
      <c r="Q29" s="8"/>
      <c r="R29" s="8"/>
      <c r="S29" s="8"/>
    </row>
    <row r="30" spans="2:40" x14ac:dyDescent="0.25">
      <c r="B30" s="2" t="s">
        <v>74</v>
      </c>
      <c r="C30" s="2">
        <f t="shared" si="4"/>
        <v>78</v>
      </c>
      <c r="D30" s="2">
        <v>4</v>
      </c>
      <c r="E30" s="2">
        <v>20</v>
      </c>
      <c r="F30" s="2">
        <v>2</v>
      </c>
      <c r="G30" s="2">
        <v>6</v>
      </c>
      <c r="H30" s="2">
        <v>15</v>
      </c>
      <c r="I30" s="2">
        <v>24</v>
      </c>
      <c r="J30" s="2">
        <v>1</v>
      </c>
      <c r="K30" s="2">
        <v>4</v>
      </c>
      <c r="L30" s="2">
        <v>1</v>
      </c>
      <c r="M30" s="2">
        <v>1</v>
      </c>
      <c r="N30" s="8"/>
      <c r="O30" s="8"/>
      <c r="P30" s="8"/>
      <c r="Q30" s="8"/>
      <c r="R30" s="8"/>
      <c r="S30" s="8"/>
    </row>
    <row r="31" spans="2:40" x14ac:dyDescent="0.25">
      <c r="B31" s="2" t="s">
        <v>75</v>
      </c>
      <c r="C31" s="2">
        <f t="shared" si="4"/>
        <v>16</v>
      </c>
      <c r="D31" s="2">
        <v>1</v>
      </c>
      <c r="E31" s="2">
        <v>1</v>
      </c>
      <c r="F31" s="2">
        <v>3</v>
      </c>
      <c r="G31" s="2">
        <v>0</v>
      </c>
      <c r="H31" s="2">
        <v>9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8"/>
      <c r="O31" s="8"/>
      <c r="P31" s="8"/>
      <c r="Q31" s="8"/>
      <c r="R31" s="8"/>
      <c r="S31" s="8"/>
    </row>
    <row r="32" spans="2:40" x14ac:dyDescent="0.25">
      <c r="B32" s="2" t="s">
        <v>76</v>
      </c>
      <c r="C32" s="2">
        <f t="shared" si="4"/>
        <v>4</v>
      </c>
      <c r="D32" s="2">
        <v>0</v>
      </c>
      <c r="E32" s="2">
        <v>1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8"/>
      <c r="O32" s="8"/>
      <c r="P32" s="8"/>
      <c r="Q32" s="8"/>
      <c r="R32" s="8"/>
      <c r="S32" s="8"/>
    </row>
    <row r="33" spans="2:19" x14ac:dyDescent="0.25">
      <c r="C33" s="2">
        <f>SUM(C28:C32)</f>
        <v>229</v>
      </c>
      <c r="D33">
        <f>SUM(D28:D32)</f>
        <v>12</v>
      </c>
      <c r="E33">
        <f t="shared" ref="E33:M33" si="5">SUM(E28:E32)</f>
        <v>49</v>
      </c>
      <c r="F33">
        <f t="shared" si="5"/>
        <v>17</v>
      </c>
      <c r="G33">
        <f t="shared" si="5"/>
        <v>16</v>
      </c>
      <c r="H33">
        <f t="shared" si="5"/>
        <v>46</v>
      </c>
      <c r="I33">
        <f t="shared" si="5"/>
        <v>50</v>
      </c>
      <c r="J33">
        <f t="shared" si="5"/>
        <v>15</v>
      </c>
      <c r="K33">
        <f t="shared" si="5"/>
        <v>15</v>
      </c>
      <c r="L33">
        <f t="shared" si="5"/>
        <v>8</v>
      </c>
      <c r="M33">
        <f t="shared" si="5"/>
        <v>1</v>
      </c>
    </row>
    <row r="34" spans="2:19" x14ac:dyDescent="0.25">
      <c r="C34" s="8"/>
    </row>
    <row r="37" spans="2:19" ht="15.75" thickBot="1" x14ac:dyDescent="0.3">
      <c r="D37" s="45" t="s">
        <v>88</v>
      </c>
      <c r="E37" s="45"/>
      <c r="F37" s="45"/>
      <c r="G37" s="45"/>
      <c r="H37" s="45"/>
      <c r="I37" s="45"/>
      <c r="J37" s="45"/>
      <c r="K37" s="45"/>
      <c r="L37" s="45"/>
      <c r="M37" s="45"/>
      <c r="N37" s="23"/>
      <c r="O37" s="23"/>
      <c r="P37" s="23"/>
      <c r="Q37" s="23"/>
      <c r="R37" s="23"/>
      <c r="S37" s="23"/>
    </row>
    <row r="38" spans="2:19" ht="15.75" thickBot="1" x14ac:dyDescent="0.3">
      <c r="B38" s="15" t="s">
        <v>60</v>
      </c>
      <c r="C38" s="16" t="s">
        <v>61</v>
      </c>
      <c r="D38" s="2" t="s">
        <v>62</v>
      </c>
      <c r="E38" s="2" t="s">
        <v>63</v>
      </c>
      <c r="F38" s="2" t="s">
        <v>64</v>
      </c>
      <c r="G38" s="2" t="s">
        <v>65</v>
      </c>
      <c r="H38" s="2" t="s">
        <v>66</v>
      </c>
      <c r="I38" s="2" t="s">
        <v>67</v>
      </c>
      <c r="J38" s="2" t="s">
        <v>68</v>
      </c>
      <c r="K38" s="2" t="s">
        <v>97</v>
      </c>
      <c r="L38" s="2" t="s">
        <v>71</v>
      </c>
      <c r="M38" s="2" t="s">
        <v>69</v>
      </c>
      <c r="N38" s="8"/>
      <c r="O38" s="8"/>
      <c r="P38" s="8"/>
      <c r="Q38" s="8"/>
      <c r="R38" s="8"/>
      <c r="S38" s="8"/>
    </row>
    <row r="39" spans="2:19" ht="15.75" thickBot="1" x14ac:dyDescent="0.3">
      <c r="B39" s="9" t="s">
        <v>77</v>
      </c>
      <c r="C39" s="10">
        <f>SUM(D39:M39)</f>
        <v>74</v>
      </c>
      <c r="D39" s="2">
        <v>2</v>
      </c>
      <c r="E39" s="2">
        <v>9</v>
      </c>
      <c r="F39" s="2">
        <v>7</v>
      </c>
      <c r="G39" s="2">
        <v>1</v>
      </c>
      <c r="H39" s="2">
        <v>27</v>
      </c>
      <c r="I39" s="2">
        <v>13</v>
      </c>
      <c r="J39" s="2">
        <v>2</v>
      </c>
      <c r="K39" s="2">
        <v>10</v>
      </c>
      <c r="L39" s="2">
        <v>2</v>
      </c>
      <c r="M39" s="2">
        <v>1</v>
      </c>
      <c r="N39" s="8"/>
      <c r="O39" s="8"/>
      <c r="P39" s="8"/>
      <c r="Q39" s="8"/>
      <c r="R39" s="8"/>
      <c r="S39" s="8"/>
    </row>
    <row r="40" spans="2:19" ht="15.75" thickBot="1" x14ac:dyDescent="0.3">
      <c r="B40" s="12" t="s">
        <v>58</v>
      </c>
      <c r="C40" s="10">
        <f t="shared" ref="C40:C44" si="6">SUM(D40:M40)</f>
        <v>36</v>
      </c>
      <c r="D40" s="2">
        <v>0</v>
      </c>
      <c r="E40" s="2">
        <v>2</v>
      </c>
      <c r="F40" s="2">
        <v>7</v>
      </c>
      <c r="G40" s="2">
        <v>2</v>
      </c>
      <c r="H40" s="2">
        <v>7</v>
      </c>
      <c r="I40" s="2">
        <v>9</v>
      </c>
      <c r="J40" s="2">
        <v>2</v>
      </c>
      <c r="K40" s="2">
        <v>0</v>
      </c>
      <c r="L40" s="2">
        <v>5</v>
      </c>
      <c r="M40" s="2">
        <v>2</v>
      </c>
      <c r="N40" s="8"/>
      <c r="O40" s="8"/>
      <c r="P40" s="8"/>
      <c r="Q40" s="8"/>
      <c r="R40" s="8"/>
      <c r="S40" s="8"/>
    </row>
    <row r="41" spans="2:19" ht="15.75" thickBot="1" x14ac:dyDescent="0.3">
      <c r="B41" s="12" t="s">
        <v>56</v>
      </c>
      <c r="C41" s="10">
        <f t="shared" si="6"/>
        <v>19</v>
      </c>
      <c r="D41" s="2">
        <v>3</v>
      </c>
      <c r="E41" s="2">
        <v>2</v>
      </c>
      <c r="F41" s="2">
        <v>3</v>
      </c>
      <c r="G41" s="2">
        <v>3</v>
      </c>
      <c r="H41" s="2">
        <v>4</v>
      </c>
      <c r="I41" s="2">
        <v>3</v>
      </c>
      <c r="J41" s="2">
        <v>0</v>
      </c>
      <c r="K41" s="2">
        <v>0</v>
      </c>
      <c r="L41" s="2">
        <v>0</v>
      </c>
      <c r="M41" s="2">
        <v>1</v>
      </c>
      <c r="N41" s="8"/>
      <c r="O41" s="8"/>
      <c r="P41" s="8"/>
      <c r="Q41" s="8"/>
      <c r="R41" s="8"/>
      <c r="S41" s="8"/>
    </row>
    <row r="42" spans="2:19" ht="15.75" thickBot="1" x14ac:dyDescent="0.3">
      <c r="B42" s="12" t="s">
        <v>78</v>
      </c>
      <c r="C42" s="10">
        <f t="shared" si="6"/>
        <v>2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8"/>
      <c r="O42" s="8"/>
      <c r="P42" s="8"/>
      <c r="Q42" s="8"/>
      <c r="R42" s="8"/>
      <c r="S42" s="8"/>
    </row>
    <row r="43" spans="2:19" ht="15.75" thickBot="1" x14ac:dyDescent="0.3">
      <c r="B43" s="12" t="s">
        <v>59</v>
      </c>
      <c r="C43" s="10">
        <f t="shared" si="6"/>
        <v>7</v>
      </c>
      <c r="D43" s="2">
        <v>0</v>
      </c>
      <c r="E43" s="2">
        <v>1</v>
      </c>
      <c r="F43" s="2">
        <v>0</v>
      </c>
      <c r="G43" s="2">
        <v>0</v>
      </c>
      <c r="H43" s="2">
        <v>1</v>
      </c>
      <c r="I43" s="2">
        <v>4</v>
      </c>
      <c r="J43" s="2">
        <v>0</v>
      </c>
      <c r="K43" s="2">
        <v>1</v>
      </c>
      <c r="L43" s="2">
        <v>0</v>
      </c>
      <c r="M43" s="2">
        <v>0</v>
      </c>
      <c r="N43" s="8"/>
      <c r="O43" s="8"/>
      <c r="P43" s="8"/>
      <c r="Q43" s="8"/>
      <c r="R43" s="8"/>
      <c r="S43" s="8"/>
    </row>
    <row r="44" spans="2:19" ht="15.75" thickBot="1" x14ac:dyDescent="0.3">
      <c r="B44" s="13" t="s">
        <v>79</v>
      </c>
      <c r="C44" s="10">
        <f t="shared" si="6"/>
        <v>21</v>
      </c>
      <c r="D44" s="2">
        <v>0</v>
      </c>
      <c r="E44" s="2">
        <v>6</v>
      </c>
      <c r="F44" s="2">
        <v>2</v>
      </c>
      <c r="G44" s="2">
        <v>10</v>
      </c>
      <c r="H44" s="2">
        <v>0</v>
      </c>
      <c r="I44" s="2">
        <v>1</v>
      </c>
      <c r="J44" s="2">
        <v>1</v>
      </c>
      <c r="K44" s="2">
        <v>0</v>
      </c>
      <c r="L44" s="2">
        <v>1</v>
      </c>
      <c r="M44" s="2">
        <v>0</v>
      </c>
      <c r="N44" s="8"/>
      <c r="O44" s="8"/>
      <c r="P44" s="8"/>
      <c r="Q44" s="8"/>
      <c r="R44" s="8"/>
      <c r="S44" s="8"/>
    </row>
    <row r="45" spans="2:19" x14ac:dyDescent="0.25">
      <c r="C45" s="7">
        <f>SUM(C39:C44)</f>
        <v>159</v>
      </c>
      <c r="D45">
        <f>SUM(D39:D44)</f>
        <v>5</v>
      </c>
      <c r="E45">
        <f t="shared" ref="E45:M45" si="7">SUM(E39:E44)</f>
        <v>20</v>
      </c>
      <c r="F45">
        <f t="shared" si="7"/>
        <v>19</v>
      </c>
      <c r="G45">
        <f t="shared" si="7"/>
        <v>17</v>
      </c>
      <c r="H45">
        <f t="shared" si="7"/>
        <v>39</v>
      </c>
      <c r="I45">
        <f t="shared" si="7"/>
        <v>30</v>
      </c>
      <c r="J45">
        <f t="shared" si="7"/>
        <v>6</v>
      </c>
      <c r="K45">
        <f t="shared" si="7"/>
        <v>11</v>
      </c>
      <c r="L45">
        <f t="shared" si="7"/>
        <v>8</v>
      </c>
      <c r="M45">
        <f t="shared" si="7"/>
        <v>4</v>
      </c>
    </row>
    <row r="50" spans="2:19" ht="15.75" thickBot="1" x14ac:dyDescent="0.3">
      <c r="D50" s="45" t="s">
        <v>89</v>
      </c>
      <c r="E50" s="45"/>
      <c r="F50" s="45"/>
      <c r="G50" s="45"/>
      <c r="H50" s="45"/>
      <c r="I50" s="45"/>
      <c r="J50" s="45"/>
      <c r="K50" s="45"/>
      <c r="L50" s="45"/>
      <c r="M50" s="45"/>
      <c r="N50" s="23"/>
      <c r="O50" s="23"/>
      <c r="P50" s="23"/>
      <c r="Q50" s="23"/>
      <c r="R50" s="23"/>
      <c r="S50" s="23"/>
    </row>
    <row r="51" spans="2:19" x14ac:dyDescent="0.25">
      <c r="B51" s="9" t="s">
        <v>60</v>
      </c>
      <c r="C51" s="16" t="s">
        <v>61</v>
      </c>
      <c r="D51" s="2" t="s">
        <v>62</v>
      </c>
      <c r="E51" s="2" t="s">
        <v>63</v>
      </c>
      <c r="F51" s="2" t="s">
        <v>64</v>
      </c>
      <c r="G51" s="2" t="s">
        <v>65</v>
      </c>
      <c r="H51" s="2" t="s">
        <v>66</v>
      </c>
      <c r="I51" s="2" t="s">
        <v>67</v>
      </c>
      <c r="J51" s="2" t="s">
        <v>68</v>
      </c>
      <c r="K51" s="2" t="s">
        <v>97</v>
      </c>
      <c r="L51" s="2" t="s">
        <v>71</v>
      </c>
      <c r="M51" s="2" t="s">
        <v>69</v>
      </c>
      <c r="N51" s="8"/>
      <c r="O51" s="8"/>
      <c r="P51" s="8"/>
      <c r="Q51" s="8"/>
      <c r="R51" s="8"/>
      <c r="S51" s="8"/>
    </row>
    <row r="52" spans="2:19" x14ac:dyDescent="0.25">
      <c r="B52" s="12" t="s">
        <v>99</v>
      </c>
      <c r="C52" s="2">
        <f>SUM(D52:M52)</f>
        <v>32</v>
      </c>
      <c r="D52" s="2">
        <v>1</v>
      </c>
      <c r="E52" s="2">
        <v>5</v>
      </c>
      <c r="F52" s="2">
        <v>6</v>
      </c>
      <c r="G52" s="2">
        <v>2</v>
      </c>
      <c r="H52" s="2">
        <v>10</v>
      </c>
      <c r="I52" s="2">
        <v>3</v>
      </c>
      <c r="J52" s="2">
        <v>4</v>
      </c>
      <c r="K52" s="2">
        <v>0</v>
      </c>
      <c r="L52" s="2">
        <v>1</v>
      </c>
      <c r="M52" s="2">
        <v>0</v>
      </c>
      <c r="N52" s="8"/>
      <c r="O52" s="8"/>
      <c r="P52" s="8"/>
      <c r="Q52" s="8"/>
      <c r="R52" s="8"/>
      <c r="S52" s="8"/>
    </row>
    <row r="53" spans="2:19" x14ac:dyDescent="0.25">
      <c r="B53" s="12" t="s">
        <v>73</v>
      </c>
      <c r="C53" s="2">
        <f t="shared" ref="C53:C56" si="8">SUM(D53:M53)</f>
        <v>38</v>
      </c>
      <c r="D53" s="2">
        <v>6</v>
      </c>
      <c r="E53" s="2">
        <v>10</v>
      </c>
      <c r="F53" s="2">
        <v>6</v>
      </c>
      <c r="G53" s="2">
        <v>2</v>
      </c>
      <c r="H53" s="2">
        <v>11</v>
      </c>
      <c r="I53" s="2">
        <v>2</v>
      </c>
      <c r="J53" s="2">
        <v>1</v>
      </c>
      <c r="K53" s="2">
        <v>0</v>
      </c>
      <c r="L53" s="2">
        <v>0</v>
      </c>
      <c r="M53" s="2">
        <v>0</v>
      </c>
      <c r="N53" s="8"/>
      <c r="O53" s="8"/>
      <c r="P53" s="8"/>
      <c r="Q53" s="8"/>
      <c r="R53" s="8"/>
      <c r="S53" s="8"/>
    </row>
    <row r="54" spans="2:19" x14ac:dyDescent="0.25">
      <c r="B54" s="12" t="s">
        <v>74</v>
      </c>
      <c r="C54" s="2">
        <f t="shared" si="8"/>
        <v>56</v>
      </c>
      <c r="D54" s="2">
        <v>0</v>
      </c>
      <c r="E54" s="2">
        <v>17</v>
      </c>
      <c r="F54" s="2">
        <v>1</v>
      </c>
      <c r="G54" s="2">
        <v>5</v>
      </c>
      <c r="H54" s="2">
        <v>14</v>
      </c>
      <c r="I54" s="2">
        <v>13</v>
      </c>
      <c r="J54" s="2">
        <v>5</v>
      </c>
      <c r="K54" s="2">
        <v>0</v>
      </c>
      <c r="L54" s="2">
        <v>0</v>
      </c>
      <c r="M54" s="2">
        <v>1</v>
      </c>
      <c r="N54" s="8"/>
      <c r="O54" s="8"/>
      <c r="P54" s="8"/>
      <c r="Q54" s="8"/>
      <c r="R54" s="8"/>
      <c r="S54" s="8"/>
    </row>
    <row r="55" spans="2:19" x14ac:dyDescent="0.25">
      <c r="B55" s="12" t="s">
        <v>75</v>
      </c>
      <c r="C55" s="2">
        <f t="shared" si="8"/>
        <v>46</v>
      </c>
      <c r="D55" s="2">
        <v>1</v>
      </c>
      <c r="E55" s="2">
        <v>7</v>
      </c>
      <c r="F55" s="2">
        <v>2</v>
      </c>
      <c r="G55" s="2">
        <v>8</v>
      </c>
      <c r="H55" s="2">
        <v>19</v>
      </c>
      <c r="I55" s="2">
        <v>9</v>
      </c>
      <c r="J55" s="2">
        <v>0</v>
      </c>
      <c r="K55" s="2">
        <v>0</v>
      </c>
      <c r="L55" s="2">
        <v>0</v>
      </c>
      <c r="M55" s="2">
        <v>0</v>
      </c>
      <c r="N55" s="8"/>
      <c r="O55" s="8"/>
      <c r="P55" s="8"/>
      <c r="Q55" s="8"/>
      <c r="R55" s="8"/>
      <c r="S55" s="8"/>
    </row>
    <row r="56" spans="2:19" ht="15.75" thickBot="1" x14ac:dyDescent="0.3">
      <c r="B56" s="13" t="s">
        <v>76</v>
      </c>
      <c r="C56" s="2">
        <f t="shared" si="8"/>
        <v>33</v>
      </c>
      <c r="D56" s="2">
        <v>2</v>
      </c>
      <c r="E56" s="2">
        <v>7</v>
      </c>
      <c r="F56" s="2">
        <v>6</v>
      </c>
      <c r="G56" s="2">
        <v>3</v>
      </c>
      <c r="H56" s="2">
        <v>6</v>
      </c>
      <c r="I56" s="2">
        <v>7</v>
      </c>
      <c r="J56" s="2">
        <v>1</v>
      </c>
      <c r="K56" s="2">
        <v>0</v>
      </c>
      <c r="L56" s="2">
        <v>1</v>
      </c>
      <c r="M56" s="2">
        <v>0</v>
      </c>
      <c r="N56" s="8"/>
      <c r="O56" s="8"/>
      <c r="P56" s="8"/>
      <c r="Q56" s="8"/>
      <c r="R56" s="8"/>
      <c r="S56" s="8"/>
    </row>
    <row r="57" spans="2:19" x14ac:dyDescent="0.25">
      <c r="C57" s="2">
        <f>SUM(C52:C56)</f>
        <v>205</v>
      </c>
      <c r="D57">
        <f>SUM(D52:D56)</f>
        <v>10</v>
      </c>
      <c r="E57">
        <f t="shared" ref="E57:M57" si="9">SUM(E52:E56)</f>
        <v>46</v>
      </c>
      <c r="F57">
        <f t="shared" si="9"/>
        <v>21</v>
      </c>
      <c r="G57">
        <f t="shared" si="9"/>
        <v>20</v>
      </c>
      <c r="H57">
        <f t="shared" si="9"/>
        <v>60</v>
      </c>
      <c r="I57">
        <f t="shared" si="9"/>
        <v>34</v>
      </c>
      <c r="J57">
        <f t="shared" si="9"/>
        <v>11</v>
      </c>
      <c r="K57">
        <f t="shared" si="9"/>
        <v>0</v>
      </c>
      <c r="L57">
        <f t="shared" si="9"/>
        <v>2</v>
      </c>
      <c r="M57">
        <f t="shared" si="9"/>
        <v>1</v>
      </c>
    </row>
    <row r="61" spans="2:19" ht="15.75" thickBot="1" x14ac:dyDescent="0.3">
      <c r="D61" s="45" t="s">
        <v>90</v>
      </c>
      <c r="E61" s="45"/>
      <c r="F61" s="45"/>
      <c r="G61" s="45"/>
      <c r="H61" s="45"/>
      <c r="I61" s="45"/>
      <c r="J61" s="45"/>
      <c r="K61" s="45"/>
      <c r="L61" s="45"/>
      <c r="M61" s="45"/>
      <c r="N61" s="23"/>
      <c r="O61" s="23"/>
      <c r="P61" s="23"/>
      <c r="Q61" s="23"/>
      <c r="R61" s="23"/>
      <c r="S61" s="23"/>
    </row>
    <row r="62" spans="2:19" ht="15.75" thickBot="1" x14ac:dyDescent="0.3">
      <c r="B62" s="15" t="s">
        <v>60</v>
      </c>
      <c r="C62" s="16" t="s">
        <v>61</v>
      </c>
      <c r="D62" s="2" t="s">
        <v>62</v>
      </c>
      <c r="E62" s="2" t="s">
        <v>63</v>
      </c>
      <c r="F62" s="2" t="s">
        <v>64</v>
      </c>
      <c r="G62" s="2" t="s">
        <v>65</v>
      </c>
      <c r="H62" s="2" t="s">
        <v>66</v>
      </c>
      <c r="I62" s="2" t="s">
        <v>67</v>
      </c>
      <c r="J62" s="2" t="s">
        <v>68</v>
      </c>
      <c r="K62" s="2" t="s">
        <v>97</v>
      </c>
      <c r="L62" s="2" t="s">
        <v>71</v>
      </c>
      <c r="M62" s="2" t="s">
        <v>69</v>
      </c>
      <c r="N62" s="8"/>
      <c r="O62" s="8"/>
      <c r="P62" s="8"/>
      <c r="Q62" s="8"/>
      <c r="R62" s="8"/>
      <c r="S62" s="8"/>
    </row>
    <row r="63" spans="2:19" ht="15.75" thickBot="1" x14ac:dyDescent="0.3">
      <c r="B63" s="9" t="s">
        <v>77</v>
      </c>
      <c r="C63" s="10">
        <f>SUM(D63:M63)</f>
        <v>47</v>
      </c>
      <c r="D63" s="2">
        <v>2</v>
      </c>
      <c r="E63" s="2">
        <v>10</v>
      </c>
      <c r="F63" s="2">
        <v>7</v>
      </c>
      <c r="G63" s="2">
        <v>0</v>
      </c>
      <c r="H63" s="2">
        <v>19</v>
      </c>
      <c r="I63" s="2">
        <v>8</v>
      </c>
      <c r="J63" s="2">
        <v>1</v>
      </c>
      <c r="K63" s="2">
        <v>0</v>
      </c>
      <c r="L63" s="2">
        <v>0</v>
      </c>
      <c r="M63" s="2">
        <v>0</v>
      </c>
      <c r="N63" s="8"/>
      <c r="O63" s="8"/>
      <c r="P63" s="8"/>
      <c r="Q63" s="8"/>
      <c r="R63" s="8"/>
      <c r="S63" s="8"/>
    </row>
    <row r="64" spans="2:19" ht="15.75" thickBot="1" x14ac:dyDescent="0.3">
      <c r="B64" s="12" t="s">
        <v>58</v>
      </c>
      <c r="C64" s="10">
        <f t="shared" ref="C64:C68" si="10">SUM(D64:M64)</f>
        <v>33</v>
      </c>
      <c r="D64" s="2">
        <v>1</v>
      </c>
      <c r="E64" s="2">
        <v>3</v>
      </c>
      <c r="F64" s="2">
        <v>6</v>
      </c>
      <c r="G64" s="2">
        <v>2</v>
      </c>
      <c r="H64" s="2">
        <v>9</v>
      </c>
      <c r="I64" s="2">
        <v>10</v>
      </c>
      <c r="J64" s="2">
        <v>1</v>
      </c>
      <c r="K64" s="2">
        <v>0</v>
      </c>
      <c r="L64" s="2">
        <v>0</v>
      </c>
      <c r="M64" s="2">
        <v>1</v>
      </c>
      <c r="N64" s="8"/>
      <c r="O64" s="8"/>
      <c r="P64" s="8"/>
      <c r="Q64" s="8"/>
      <c r="R64" s="8"/>
      <c r="S64" s="8"/>
    </row>
    <row r="65" spans="2:19" ht="15.75" thickBot="1" x14ac:dyDescent="0.3">
      <c r="B65" s="12" t="s">
        <v>56</v>
      </c>
      <c r="C65" s="10">
        <f t="shared" si="10"/>
        <v>15</v>
      </c>
      <c r="D65" s="2">
        <v>0</v>
      </c>
      <c r="E65" s="2">
        <v>5</v>
      </c>
      <c r="F65" s="2">
        <v>0</v>
      </c>
      <c r="G65" s="2">
        <v>3</v>
      </c>
      <c r="H65" s="2">
        <v>6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8"/>
      <c r="O65" s="8"/>
      <c r="P65" s="8"/>
      <c r="Q65" s="8"/>
      <c r="R65" s="8"/>
      <c r="S65" s="8"/>
    </row>
    <row r="66" spans="2:19" ht="15.75" thickBot="1" x14ac:dyDescent="0.3">
      <c r="B66" s="12" t="s">
        <v>78</v>
      </c>
      <c r="C66" s="10">
        <f t="shared" si="10"/>
        <v>7</v>
      </c>
      <c r="D66" s="2">
        <v>0</v>
      </c>
      <c r="E66" s="2">
        <v>2</v>
      </c>
      <c r="F66" s="2">
        <v>0</v>
      </c>
      <c r="G66" s="2">
        <v>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8"/>
      <c r="O66" s="8"/>
      <c r="P66" s="8"/>
      <c r="Q66" s="8"/>
      <c r="R66" s="8"/>
      <c r="S66" s="8"/>
    </row>
    <row r="67" spans="2:19" ht="15.75" thickBot="1" x14ac:dyDescent="0.3">
      <c r="B67" s="12" t="s">
        <v>59</v>
      </c>
      <c r="C67" s="10">
        <f t="shared" si="10"/>
        <v>11</v>
      </c>
      <c r="D67" s="2">
        <v>0</v>
      </c>
      <c r="E67" s="2">
        <v>1</v>
      </c>
      <c r="F67" s="2">
        <v>5</v>
      </c>
      <c r="G67" s="2">
        <v>0</v>
      </c>
      <c r="H67" s="2">
        <v>1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8"/>
      <c r="O67" s="8"/>
      <c r="P67" s="8"/>
      <c r="Q67" s="8"/>
      <c r="R67" s="8"/>
      <c r="S67" s="8"/>
    </row>
    <row r="68" spans="2:19" ht="15.75" thickBot="1" x14ac:dyDescent="0.3">
      <c r="B68" s="13" t="s">
        <v>79</v>
      </c>
      <c r="C68" s="10">
        <f t="shared" si="10"/>
        <v>18</v>
      </c>
      <c r="D68" s="2">
        <v>0</v>
      </c>
      <c r="E68" s="2">
        <v>4</v>
      </c>
      <c r="F68" s="2">
        <v>2</v>
      </c>
      <c r="G68" s="2">
        <v>2</v>
      </c>
      <c r="H68" s="2">
        <v>5</v>
      </c>
      <c r="I68" s="2">
        <v>3</v>
      </c>
      <c r="J68" s="2">
        <v>2</v>
      </c>
      <c r="K68" s="2">
        <v>0</v>
      </c>
      <c r="L68" s="2">
        <v>0</v>
      </c>
      <c r="M68" s="2">
        <v>0</v>
      </c>
      <c r="N68" s="8"/>
      <c r="O68" s="8"/>
      <c r="P68" s="8"/>
      <c r="Q68" s="8"/>
      <c r="R68" s="8"/>
      <c r="S68" s="8"/>
    </row>
    <row r="69" spans="2:19" x14ac:dyDescent="0.25">
      <c r="C69" s="7">
        <f>SUM(C63:C68)</f>
        <v>131</v>
      </c>
      <c r="D69">
        <f>SUM(D63:D68)</f>
        <v>3</v>
      </c>
      <c r="E69">
        <f t="shared" ref="E69:M69" si="11">SUM(E63:E68)</f>
        <v>25</v>
      </c>
      <c r="F69">
        <f t="shared" si="11"/>
        <v>20</v>
      </c>
      <c r="G69">
        <f t="shared" si="11"/>
        <v>12</v>
      </c>
      <c r="H69">
        <f t="shared" si="11"/>
        <v>40</v>
      </c>
      <c r="I69">
        <f t="shared" si="11"/>
        <v>26</v>
      </c>
      <c r="J69">
        <f t="shared" si="11"/>
        <v>4</v>
      </c>
      <c r="K69">
        <f t="shared" si="11"/>
        <v>0</v>
      </c>
      <c r="L69">
        <f t="shared" si="11"/>
        <v>0</v>
      </c>
      <c r="M69">
        <f t="shared" si="11"/>
        <v>1</v>
      </c>
    </row>
    <row r="74" spans="2:19" ht="15.75" thickBot="1" x14ac:dyDescent="0.3">
      <c r="D74" s="45" t="s">
        <v>91</v>
      </c>
      <c r="E74" s="45"/>
      <c r="F74" s="45"/>
      <c r="G74" s="45"/>
      <c r="H74" s="45"/>
      <c r="I74" s="45"/>
      <c r="J74" s="45"/>
      <c r="K74" s="45"/>
      <c r="L74" s="45"/>
      <c r="M74" s="45"/>
      <c r="N74" s="23"/>
      <c r="O74" s="23"/>
      <c r="P74" s="23"/>
      <c r="Q74" s="23"/>
      <c r="R74" s="23"/>
      <c r="S74" s="23"/>
    </row>
    <row r="75" spans="2:19" x14ac:dyDescent="0.25">
      <c r="B75" s="9" t="s">
        <v>60</v>
      </c>
      <c r="C75" s="16" t="s">
        <v>61</v>
      </c>
      <c r="D75" s="2" t="s">
        <v>62</v>
      </c>
      <c r="E75" s="2" t="s">
        <v>63</v>
      </c>
      <c r="F75" s="2" t="s">
        <v>64</v>
      </c>
      <c r="G75" s="2" t="s">
        <v>65</v>
      </c>
      <c r="H75" s="2" t="s">
        <v>66</v>
      </c>
      <c r="I75" s="2" t="s">
        <v>67</v>
      </c>
      <c r="J75" s="2" t="s">
        <v>68</v>
      </c>
      <c r="K75" s="2" t="s">
        <v>97</v>
      </c>
      <c r="L75" s="2" t="s">
        <v>71</v>
      </c>
      <c r="M75" s="2" t="s">
        <v>69</v>
      </c>
      <c r="N75" s="8"/>
      <c r="O75" s="8"/>
      <c r="P75" s="8"/>
      <c r="Q75" s="8"/>
      <c r="R75" s="8"/>
      <c r="S75" s="8"/>
    </row>
    <row r="76" spans="2:19" x14ac:dyDescent="0.25">
      <c r="B76" s="12" t="s">
        <v>98</v>
      </c>
      <c r="C76" s="2">
        <f>SUM(D76:M76)</f>
        <v>36</v>
      </c>
      <c r="D76" s="2">
        <v>0</v>
      </c>
      <c r="E76" s="2">
        <v>4</v>
      </c>
      <c r="F76" s="2">
        <v>4</v>
      </c>
      <c r="G76" s="2">
        <v>2</v>
      </c>
      <c r="H76" s="2">
        <v>15</v>
      </c>
      <c r="I76" s="2">
        <v>6</v>
      </c>
      <c r="J76" s="2">
        <v>3</v>
      </c>
      <c r="K76" s="2">
        <v>2</v>
      </c>
      <c r="L76" s="2">
        <v>0</v>
      </c>
      <c r="M76" s="2">
        <v>0</v>
      </c>
      <c r="N76" s="8"/>
      <c r="O76" s="8"/>
      <c r="P76" s="8"/>
      <c r="Q76" s="8"/>
      <c r="R76" s="8"/>
      <c r="S76" s="8"/>
    </row>
    <row r="77" spans="2:19" x14ac:dyDescent="0.25">
      <c r="B77" s="12" t="s">
        <v>73</v>
      </c>
      <c r="C77" s="2">
        <f t="shared" ref="C77:C80" si="12">SUM(D77:M77)</f>
        <v>71</v>
      </c>
      <c r="D77" s="2">
        <v>1</v>
      </c>
      <c r="E77" s="2">
        <v>28</v>
      </c>
      <c r="F77" s="2">
        <v>5</v>
      </c>
      <c r="G77" s="2">
        <v>2</v>
      </c>
      <c r="H77" s="2">
        <v>24</v>
      </c>
      <c r="I77" s="2">
        <v>4</v>
      </c>
      <c r="J77" s="2">
        <v>2</v>
      </c>
      <c r="K77" s="2">
        <v>4</v>
      </c>
      <c r="L77" s="2">
        <v>0</v>
      </c>
      <c r="M77" s="2">
        <v>1</v>
      </c>
      <c r="N77" s="8"/>
      <c r="O77" s="8"/>
      <c r="P77" s="8"/>
      <c r="Q77" s="8"/>
      <c r="R77" s="8"/>
      <c r="S77" s="8"/>
    </row>
    <row r="78" spans="2:19" x14ac:dyDescent="0.25">
      <c r="B78" s="12" t="s">
        <v>74</v>
      </c>
      <c r="C78" s="2">
        <f t="shared" si="12"/>
        <v>67</v>
      </c>
      <c r="D78" s="2">
        <v>1</v>
      </c>
      <c r="E78" s="2">
        <v>19</v>
      </c>
      <c r="F78" s="2">
        <v>3</v>
      </c>
      <c r="G78" s="2">
        <v>3</v>
      </c>
      <c r="H78" s="2">
        <v>20</v>
      </c>
      <c r="I78" s="2">
        <v>15</v>
      </c>
      <c r="J78" s="2">
        <v>2</v>
      </c>
      <c r="K78" s="2">
        <v>3</v>
      </c>
      <c r="L78" s="2">
        <v>0</v>
      </c>
      <c r="M78" s="2">
        <v>1</v>
      </c>
      <c r="N78" s="8"/>
      <c r="O78" s="8"/>
      <c r="P78" s="8"/>
      <c r="Q78" s="8"/>
      <c r="R78" s="8"/>
      <c r="S78" s="8"/>
    </row>
    <row r="79" spans="2:19" x14ac:dyDescent="0.25">
      <c r="B79" s="12" t="s">
        <v>75</v>
      </c>
      <c r="C79" s="2">
        <f t="shared" si="12"/>
        <v>60</v>
      </c>
      <c r="D79" s="2">
        <v>0</v>
      </c>
      <c r="E79" s="2">
        <v>9</v>
      </c>
      <c r="F79" s="2">
        <v>3</v>
      </c>
      <c r="G79" s="2">
        <v>7</v>
      </c>
      <c r="H79" s="2">
        <v>21</v>
      </c>
      <c r="I79" s="2">
        <v>10</v>
      </c>
      <c r="J79" s="2">
        <v>3</v>
      </c>
      <c r="K79" s="2">
        <v>7</v>
      </c>
      <c r="L79" s="2">
        <v>0</v>
      </c>
      <c r="M79" s="2">
        <v>0</v>
      </c>
      <c r="N79" s="8"/>
      <c r="O79" s="8"/>
      <c r="P79" s="8"/>
      <c r="Q79" s="8"/>
      <c r="R79" s="8"/>
      <c r="S79" s="8"/>
    </row>
    <row r="80" spans="2:19" ht="15.75" thickBot="1" x14ac:dyDescent="0.3">
      <c r="B80" s="13" t="s">
        <v>76</v>
      </c>
      <c r="C80" s="2">
        <f t="shared" si="12"/>
        <v>59</v>
      </c>
      <c r="D80" s="2">
        <v>1</v>
      </c>
      <c r="E80" s="2">
        <v>19</v>
      </c>
      <c r="F80" s="2">
        <v>6</v>
      </c>
      <c r="G80" s="2">
        <v>5</v>
      </c>
      <c r="H80" s="2">
        <v>9</v>
      </c>
      <c r="I80" s="2">
        <v>9</v>
      </c>
      <c r="J80" s="2">
        <v>6</v>
      </c>
      <c r="K80" s="2">
        <v>3</v>
      </c>
      <c r="L80" s="2">
        <v>0</v>
      </c>
      <c r="M80" s="2">
        <v>1</v>
      </c>
      <c r="N80" s="8"/>
      <c r="O80" s="8"/>
      <c r="P80" s="8"/>
      <c r="Q80" s="8"/>
      <c r="R80" s="8"/>
      <c r="S80" s="8"/>
    </row>
    <row r="81" spans="2:19" x14ac:dyDescent="0.25">
      <c r="C81" s="2">
        <f>SUM(C76:C80)</f>
        <v>293</v>
      </c>
      <c r="D81">
        <f>SUM(D76:D80)</f>
        <v>3</v>
      </c>
      <c r="E81">
        <f t="shared" ref="E81:M81" si="13">SUM(E76:E80)</f>
        <v>79</v>
      </c>
      <c r="F81">
        <f t="shared" si="13"/>
        <v>21</v>
      </c>
      <c r="G81">
        <f t="shared" si="13"/>
        <v>19</v>
      </c>
      <c r="H81">
        <f t="shared" si="13"/>
        <v>89</v>
      </c>
      <c r="I81">
        <f t="shared" si="13"/>
        <v>44</v>
      </c>
      <c r="J81">
        <f t="shared" si="13"/>
        <v>16</v>
      </c>
      <c r="K81">
        <f t="shared" si="13"/>
        <v>19</v>
      </c>
      <c r="L81">
        <f t="shared" si="13"/>
        <v>0</v>
      </c>
      <c r="M81">
        <f t="shared" si="13"/>
        <v>3</v>
      </c>
    </row>
    <row r="82" spans="2:19" x14ac:dyDescent="0.25">
      <c r="C82" s="8"/>
    </row>
    <row r="85" spans="2:19" ht="15.75" thickBot="1" x14ac:dyDescent="0.3">
      <c r="D85" s="45" t="s">
        <v>92</v>
      </c>
      <c r="E85" s="45"/>
      <c r="F85" s="45"/>
      <c r="G85" s="45"/>
      <c r="H85" s="45"/>
      <c r="I85" s="45"/>
      <c r="J85" s="45"/>
      <c r="K85" s="45"/>
      <c r="L85" s="45"/>
      <c r="M85" s="45"/>
      <c r="N85" s="23"/>
      <c r="O85" s="23"/>
      <c r="P85" s="23"/>
      <c r="Q85" s="23"/>
      <c r="R85" s="23"/>
      <c r="S85" s="23"/>
    </row>
    <row r="86" spans="2:19" ht="15.75" thickBot="1" x14ac:dyDescent="0.3">
      <c r="B86" s="15" t="s">
        <v>60</v>
      </c>
      <c r="C86" s="16" t="s">
        <v>61</v>
      </c>
      <c r="D86" s="2" t="s">
        <v>62</v>
      </c>
      <c r="E86" s="2" t="s">
        <v>63</v>
      </c>
      <c r="F86" s="2" t="s">
        <v>64</v>
      </c>
      <c r="G86" s="2" t="s">
        <v>65</v>
      </c>
      <c r="H86" s="2" t="s">
        <v>66</v>
      </c>
      <c r="I86" s="2" t="s">
        <v>67</v>
      </c>
      <c r="J86" s="2" t="s">
        <v>68</v>
      </c>
      <c r="K86" s="2" t="s">
        <v>97</v>
      </c>
      <c r="L86" s="2" t="s">
        <v>71</v>
      </c>
      <c r="M86" s="2" t="s">
        <v>69</v>
      </c>
      <c r="N86" s="8"/>
      <c r="O86" s="8"/>
      <c r="P86" s="8"/>
      <c r="Q86" s="8"/>
      <c r="R86" s="8"/>
      <c r="S86" s="8"/>
    </row>
    <row r="87" spans="2:19" ht="15.75" thickBot="1" x14ac:dyDescent="0.3">
      <c r="B87" s="9" t="s">
        <v>77</v>
      </c>
      <c r="C87" s="10">
        <f>SUM(D87:M87)</f>
        <v>40</v>
      </c>
      <c r="D87" s="2">
        <v>4</v>
      </c>
      <c r="E87" s="2">
        <v>7</v>
      </c>
      <c r="F87" s="2">
        <v>7</v>
      </c>
      <c r="G87" s="2">
        <v>0</v>
      </c>
      <c r="H87" s="2">
        <v>7</v>
      </c>
      <c r="I87" s="2">
        <v>8</v>
      </c>
      <c r="J87" s="2">
        <v>6</v>
      </c>
      <c r="K87" s="2">
        <v>0</v>
      </c>
      <c r="L87" s="2">
        <v>0</v>
      </c>
      <c r="M87" s="2">
        <v>1</v>
      </c>
      <c r="N87" s="8"/>
      <c r="O87" s="8"/>
      <c r="P87" s="8"/>
      <c r="Q87" s="8"/>
      <c r="R87" s="8"/>
      <c r="S87" s="8"/>
    </row>
    <row r="88" spans="2:19" ht="15.75" thickBot="1" x14ac:dyDescent="0.3">
      <c r="B88" s="12" t="s">
        <v>58</v>
      </c>
      <c r="C88" s="10">
        <f t="shared" ref="C88:C92" si="14">SUM(D88:M88)</f>
        <v>25</v>
      </c>
      <c r="D88" s="2">
        <v>1</v>
      </c>
      <c r="E88" s="2">
        <v>8</v>
      </c>
      <c r="F88" s="2">
        <v>3</v>
      </c>
      <c r="G88" s="2">
        <v>0</v>
      </c>
      <c r="H88" s="2">
        <v>5</v>
      </c>
      <c r="I88" s="2">
        <v>6</v>
      </c>
      <c r="J88" s="2">
        <v>1</v>
      </c>
      <c r="K88" s="2">
        <v>0</v>
      </c>
      <c r="L88" s="2">
        <v>0</v>
      </c>
      <c r="M88" s="2">
        <v>1</v>
      </c>
      <c r="N88" s="8"/>
      <c r="O88" s="8"/>
      <c r="P88" s="8"/>
      <c r="Q88" s="8"/>
      <c r="R88" s="8"/>
      <c r="S88" s="8"/>
    </row>
    <row r="89" spans="2:19" ht="15.75" thickBot="1" x14ac:dyDescent="0.3">
      <c r="B89" s="12" t="s">
        <v>56</v>
      </c>
      <c r="C89" s="10">
        <f t="shared" si="14"/>
        <v>16</v>
      </c>
      <c r="D89" s="2">
        <v>0</v>
      </c>
      <c r="E89" s="2">
        <v>2</v>
      </c>
      <c r="F89" s="2">
        <v>3</v>
      </c>
      <c r="G89" s="2">
        <v>1</v>
      </c>
      <c r="H89" s="2">
        <v>7</v>
      </c>
      <c r="I89" s="2">
        <v>0</v>
      </c>
      <c r="J89" s="2">
        <v>3</v>
      </c>
      <c r="K89" s="2">
        <v>0</v>
      </c>
      <c r="L89" s="2">
        <v>0</v>
      </c>
      <c r="M89" s="2">
        <v>0</v>
      </c>
      <c r="N89" s="8"/>
      <c r="O89" s="8"/>
      <c r="P89" s="8"/>
      <c r="Q89" s="8"/>
      <c r="R89" s="8"/>
      <c r="S89" s="8"/>
    </row>
    <row r="90" spans="2:19" ht="15.75" thickBot="1" x14ac:dyDescent="0.3">
      <c r="B90" s="12" t="s">
        <v>78</v>
      </c>
      <c r="C90" s="10">
        <f t="shared" si="14"/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8"/>
      <c r="O90" s="8"/>
      <c r="P90" s="8"/>
      <c r="Q90" s="8"/>
      <c r="R90" s="8"/>
      <c r="S90" s="8"/>
    </row>
    <row r="91" spans="2:19" ht="15.75" thickBot="1" x14ac:dyDescent="0.3">
      <c r="B91" s="12" t="s">
        <v>59</v>
      </c>
      <c r="C91" s="10">
        <f t="shared" si="14"/>
        <v>18</v>
      </c>
      <c r="D91" s="2">
        <v>2</v>
      </c>
      <c r="E91" s="2">
        <v>3</v>
      </c>
      <c r="F91" s="2">
        <v>1</v>
      </c>
      <c r="G91" s="2">
        <v>2</v>
      </c>
      <c r="H91" s="2">
        <v>2</v>
      </c>
      <c r="I91" s="2">
        <v>7</v>
      </c>
      <c r="J91" s="2">
        <v>1</v>
      </c>
      <c r="K91" s="2">
        <v>0</v>
      </c>
      <c r="L91" s="2">
        <v>0</v>
      </c>
      <c r="M91" s="2">
        <v>0</v>
      </c>
      <c r="N91" s="8"/>
      <c r="O91" s="8"/>
      <c r="P91" s="8"/>
      <c r="Q91" s="8"/>
      <c r="R91" s="8"/>
      <c r="S91" s="8"/>
    </row>
    <row r="92" spans="2:19" ht="15.75" thickBot="1" x14ac:dyDescent="0.3">
      <c r="B92" s="13" t="s">
        <v>79</v>
      </c>
      <c r="C92" s="10">
        <f t="shared" si="14"/>
        <v>10</v>
      </c>
      <c r="D92" s="2">
        <v>3</v>
      </c>
      <c r="E92" s="2">
        <v>3</v>
      </c>
      <c r="F92" s="2">
        <v>0</v>
      </c>
      <c r="G92" s="2">
        <v>1</v>
      </c>
      <c r="H92" s="2">
        <v>2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8"/>
      <c r="O92" s="8"/>
      <c r="P92" s="8"/>
      <c r="Q92" s="8"/>
      <c r="R92" s="8"/>
      <c r="S92" s="8"/>
    </row>
    <row r="93" spans="2:19" x14ac:dyDescent="0.25">
      <c r="C93" s="7">
        <f>SUM(C87:C92)</f>
        <v>109</v>
      </c>
      <c r="D93">
        <f>SUM(D87:D92)</f>
        <v>10</v>
      </c>
      <c r="E93">
        <f t="shared" ref="E93:M93" si="15">SUM(E87:E92)</f>
        <v>23</v>
      </c>
      <c r="F93">
        <f t="shared" si="15"/>
        <v>14</v>
      </c>
      <c r="G93">
        <f t="shared" si="15"/>
        <v>4</v>
      </c>
      <c r="H93">
        <f t="shared" si="15"/>
        <v>23</v>
      </c>
      <c r="I93">
        <f t="shared" si="15"/>
        <v>22</v>
      </c>
      <c r="J93">
        <f t="shared" si="15"/>
        <v>11</v>
      </c>
      <c r="K93">
        <f t="shared" si="15"/>
        <v>0</v>
      </c>
      <c r="L93">
        <f t="shared" si="15"/>
        <v>0</v>
      </c>
      <c r="M93">
        <f t="shared" si="15"/>
        <v>2</v>
      </c>
    </row>
    <row r="97" spans="2:19" ht="15.75" thickBot="1" x14ac:dyDescent="0.3">
      <c r="D97" s="45" t="s">
        <v>93</v>
      </c>
      <c r="E97" s="45"/>
      <c r="F97" s="45"/>
      <c r="G97" s="45"/>
      <c r="H97" s="45"/>
      <c r="I97" s="45"/>
      <c r="J97" s="45"/>
      <c r="K97" s="45"/>
      <c r="L97" s="45"/>
      <c r="M97" s="45"/>
      <c r="N97" s="23"/>
      <c r="O97" s="23"/>
      <c r="P97" s="23"/>
      <c r="Q97" s="23"/>
      <c r="R97" s="23"/>
      <c r="S97" s="23"/>
    </row>
    <row r="98" spans="2:19" x14ac:dyDescent="0.25">
      <c r="B98" s="9" t="s">
        <v>60</v>
      </c>
      <c r="C98" s="16" t="s">
        <v>61</v>
      </c>
      <c r="D98" s="2" t="s">
        <v>62</v>
      </c>
      <c r="E98" s="2" t="s">
        <v>63</v>
      </c>
      <c r="F98" s="2" t="s">
        <v>64</v>
      </c>
      <c r="G98" s="2" t="s">
        <v>65</v>
      </c>
      <c r="H98" s="2" t="s">
        <v>66</v>
      </c>
      <c r="I98" s="2" t="s">
        <v>67</v>
      </c>
      <c r="J98" s="2" t="s">
        <v>68</v>
      </c>
      <c r="K98" s="2" t="s">
        <v>97</v>
      </c>
      <c r="L98" s="2" t="s">
        <v>71</v>
      </c>
      <c r="M98" s="2" t="s">
        <v>69</v>
      </c>
      <c r="N98" s="8"/>
      <c r="O98" s="8"/>
      <c r="P98" s="8"/>
      <c r="Q98" s="8"/>
      <c r="R98" s="8"/>
      <c r="S98" s="8"/>
    </row>
    <row r="99" spans="2:19" x14ac:dyDescent="0.25">
      <c r="B99" s="12" t="s">
        <v>98</v>
      </c>
      <c r="C99" s="2">
        <f>SUM(D99:M99)</f>
        <v>41</v>
      </c>
      <c r="D99" s="2">
        <v>3</v>
      </c>
      <c r="E99" s="2">
        <v>5</v>
      </c>
      <c r="F99" s="2">
        <v>3</v>
      </c>
      <c r="G99" s="2">
        <v>0</v>
      </c>
      <c r="H99" s="2">
        <v>10</v>
      </c>
      <c r="I99" s="2">
        <v>8</v>
      </c>
      <c r="J99" s="2">
        <v>6</v>
      </c>
      <c r="K99" s="2">
        <v>5</v>
      </c>
      <c r="L99" s="2">
        <v>0</v>
      </c>
      <c r="M99" s="2">
        <v>1</v>
      </c>
      <c r="N99" s="8"/>
      <c r="O99" s="8"/>
      <c r="P99" s="8"/>
      <c r="Q99" s="8"/>
      <c r="R99" s="8"/>
      <c r="S99" s="8"/>
    </row>
    <row r="100" spans="2:19" x14ac:dyDescent="0.25">
      <c r="B100" s="12" t="s">
        <v>73</v>
      </c>
      <c r="C100" s="2">
        <f t="shared" ref="C100:C103" si="16">SUM(D100:M100)</f>
        <v>92</v>
      </c>
      <c r="D100" s="2">
        <v>3</v>
      </c>
      <c r="E100" s="2">
        <v>30</v>
      </c>
      <c r="F100" s="2">
        <v>4</v>
      </c>
      <c r="G100" s="2">
        <v>4</v>
      </c>
      <c r="H100" s="2">
        <v>19</v>
      </c>
      <c r="I100" s="2">
        <v>5</v>
      </c>
      <c r="J100" s="2">
        <v>5</v>
      </c>
      <c r="K100" s="2">
        <v>22</v>
      </c>
      <c r="L100" s="2">
        <v>0</v>
      </c>
      <c r="M100" s="2">
        <v>0</v>
      </c>
      <c r="N100" s="8"/>
      <c r="O100" s="8"/>
      <c r="P100" s="8"/>
      <c r="Q100" s="8"/>
      <c r="R100" s="8"/>
      <c r="S100" s="8"/>
    </row>
    <row r="101" spans="2:19" x14ac:dyDescent="0.25">
      <c r="B101" s="12" t="s">
        <v>74</v>
      </c>
      <c r="C101" s="2">
        <f t="shared" si="16"/>
        <v>57</v>
      </c>
      <c r="D101" s="2">
        <v>1</v>
      </c>
      <c r="E101" s="2">
        <v>8</v>
      </c>
      <c r="F101" s="2">
        <v>5</v>
      </c>
      <c r="G101" s="2">
        <v>2</v>
      </c>
      <c r="H101" s="2">
        <v>18</v>
      </c>
      <c r="I101" s="2">
        <v>10</v>
      </c>
      <c r="J101" s="2">
        <v>6</v>
      </c>
      <c r="K101" s="2">
        <v>6</v>
      </c>
      <c r="L101" s="2">
        <v>0</v>
      </c>
      <c r="M101" s="2">
        <v>1</v>
      </c>
      <c r="N101" s="8"/>
      <c r="O101" s="8"/>
      <c r="P101" s="8"/>
      <c r="Q101" s="8"/>
      <c r="R101" s="8"/>
      <c r="S101" s="8"/>
    </row>
    <row r="102" spans="2:19" x14ac:dyDescent="0.25">
      <c r="B102" s="12" t="s">
        <v>75</v>
      </c>
      <c r="C102" s="2">
        <f t="shared" si="16"/>
        <v>79</v>
      </c>
      <c r="D102" s="2">
        <v>1</v>
      </c>
      <c r="E102" s="2">
        <v>8</v>
      </c>
      <c r="F102" s="2">
        <v>5</v>
      </c>
      <c r="G102" s="2">
        <v>3</v>
      </c>
      <c r="H102" s="2">
        <v>32</v>
      </c>
      <c r="I102" s="2">
        <v>18</v>
      </c>
      <c r="J102" s="2">
        <v>5</v>
      </c>
      <c r="K102" s="2">
        <v>6</v>
      </c>
      <c r="L102" s="2">
        <v>0</v>
      </c>
      <c r="M102" s="2">
        <v>1</v>
      </c>
      <c r="N102" s="8"/>
      <c r="O102" s="8"/>
      <c r="P102" s="8"/>
      <c r="Q102" s="8"/>
      <c r="R102" s="8"/>
      <c r="S102" s="8"/>
    </row>
    <row r="103" spans="2:19" ht="15.75" thickBot="1" x14ac:dyDescent="0.3">
      <c r="B103" s="13" t="s">
        <v>76</v>
      </c>
      <c r="C103" s="2">
        <f t="shared" si="16"/>
        <v>88</v>
      </c>
      <c r="D103" s="2">
        <v>0</v>
      </c>
      <c r="E103" s="2">
        <v>22</v>
      </c>
      <c r="F103" s="2">
        <v>3</v>
      </c>
      <c r="G103" s="2">
        <v>5</v>
      </c>
      <c r="H103" s="2">
        <v>13</v>
      </c>
      <c r="I103" s="2">
        <v>17</v>
      </c>
      <c r="J103" s="2">
        <v>13</v>
      </c>
      <c r="K103" s="2">
        <v>14</v>
      </c>
      <c r="L103" s="2">
        <v>0</v>
      </c>
      <c r="M103" s="2">
        <v>1</v>
      </c>
      <c r="N103" s="8"/>
      <c r="O103" s="8"/>
      <c r="P103" s="8"/>
      <c r="Q103" s="8"/>
      <c r="R103" s="8"/>
      <c r="S103" s="8"/>
    </row>
    <row r="104" spans="2:19" x14ac:dyDescent="0.25">
      <c r="C104" s="2">
        <f>SUM(C99:C103)</f>
        <v>357</v>
      </c>
      <c r="D104">
        <f>SUM(D99:D103)</f>
        <v>8</v>
      </c>
      <c r="E104">
        <f t="shared" ref="E104:M104" si="17">SUM(E99:E103)</f>
        <v>73</v>
      </c>
      <c r="F104">
        <f t="shared" si="17"/>
        <v>20</v>
      </c>
      <c r="G104">
        <f t="shared" si="17"/>
        <v>14</v>
      </c>
      <c r="H104">
        <f t="shared" si="17"/>
        <v>92</v>
      </c>
      <c r="I104">
        <f t="shared" si="17"/>
        <v>58</v>
      </c>
      <c r="J104">
        <f t="shared" si="17"/>
        <v>35</v>
      </c>
      <c r="K104">
        <f t="shared" si="17"/>
        <v>53</v>
      </c>
      <c r="L104">
        <f t="shared" si="17"/>
        <v>0</v>
      </c>
      <c r="M104">
        <f t="shared" si="17"/>
        <v>4</v>
      </c>
    </row>
    <row r="108" spans="2:19" ht="15.75" thickBot="1" x14ac:dyDescent="0.3">
      <c r="D108" s="45" t="s">
        <v>94</v>
      </c>
      <c r="E108" s="45"/>
      <c r="F108" s="45"/>
      <c r="G108" s="45"/>
      <c r="H108" s="45"/>
      <c r="I108" s="45"/>
      <c r="J108" s="45"/>
      <c r="K108" s="45"/>
      <c r="L108" s="45"/>
      <c r="M108" s="45"/>
      <c r="N108" s="23"/>
      <c r="O108" s="23"/>
      <c r="P108" s="23"/>
      <c r="Q108" s="23"/>
      <c r="R108" s="23"/>
      <c r="S108" s="23"/>
    </row>
    <row r="109" spans="2:19" ht="15.75" thickBot="1" x14ac:dyDescent="0.3">
      <c r="B109" s="15" t="s">
        <v>60</v>
      </c>
      <c r="C109" s="16" t="s">
        <v>61</v>
      </c>
      <c r="D109" s="2" t="s">
        <v>62</v>
      </c>
      <c r="E109" s="2" t="s">
        <v>63</v>
      </c>
      <c r="F109" s="2" t="s">
        <v>64</v>
      </c>
      <c r="G109" s="2" t="s">
        <v>65</v>
      </c>
      <c r="H109" s="2" t="s">
        <v>66</v>
      </c>
      <c r="I109" s="2" t="s">
        <v>67</v>
      </c>
      <c r="J109" s="2" t="s">
        <v>68</v>
      </c>
      <c r="K109" s="2" t="s">
        <v>97</v>
      </c>
      <c r="L109" s="2" t="s">
        <v>71</v>
      </c>
      <c r="M109" s="2" t="s">
        <v>69</v>
      </c>
      <c r="N109" s="8"/>
      <c r="O109" s="8"/>
      <c r="P109" s="8"/>
      <c r="Q109" s="8"/>
      <c r="R109" s="8"/>
      <c r="S109" s="8"/>
    </row>
    <row r="110" spans="2:19" ht="15.75" thickBot="1" x14ac:dyDescent="0.3">
      <c r="B110" s="9" t="s">
        <v>77</v>
      </c>
      <c r="C110" s="10">
        <f>SUM(D110:M110)</f>
        <v>62</v>
      </c>
      <c r="D110" s="2">
        <v>2</v>
      </c>
      <c r="E110" s="2">
        <v>9</v>
      </c>
      <c r="F110" s="2">
        <v>9</v>
      </c>
      <c r="G110" s="2">
        <v>0</v>
      </c>
      <c r="H110" s="2">
        <v>16</v>
      </c>
      <c r="I110" s="2">
        <v>6</v>
      </c>
      <c r="J110" s="2">
        <v>12</v>
      </c>
      <c r="K110" s="2">
        <v>8</v>
      </c>
      <c r="L110" s="2">
        <v>0</v>
      </c>
      <c r="M110" s="2">
        <v>0</v>
      </c>
      <c r="N110" s="8"/>
      <c r="O110" s="8"/>
      <c r="P110" s="8"/>
      <c r="Q110" s="8"/>
      <c r="R110" s="8"/>
      <c r="S110" s="8"/>
    </row>
    <row r="111" spans="2:19" ht="15.75" thickBot="1" x14ac:dyDescent="0.3">
      <c r="B111" s="12" t="s">
        <v>58</v>
      </c>
      <c r="C111" s="10">
        <f t="shared" ref="C111:C115" si="18">SUM(D111:M111)</f>
        <v>18</v>
      </c>
      <c r="D111" s="2">
        <v>0</v>
      </c>
      <c r="E111" s="2">
        <v>0</v>
      </c>
      <c r="F111" s="2">
        <v>0</v>
      </c>
      <c r="G111" s="2">
        <v>0</v>
      </c>
      <c r="H111" s="2">
        <v>10</v>
      </c>
      <c r="I111" s="2">
        <v>2</v>
      </c>
      <c r="J111" s="2">
        <v>5</v>
      </c>
      <c r="K111" s="2">
        <v>1</v>
      </c>
      <c r="L111" s="2">
        <v>0</v>
      </c>
      <c r="M111" s="2">
        <v>0</v>
      </c>
      <c r="N111" s="8"/>
      <c r="O111" s="8"/>
      <c r="P111" s="8"/>
      <c r="Q111" s="8"/>
      <c r="R111" s="8"/>
      <c r="S111" s="8"/>
    </row>
    <row r="112" spans="2:19" ht="15.75" thickBot="1" x14ac:dyDescent="0.3">
      <c r="B112" s="12" t="s">
        <v>56</v>
      </c>
      <c r="C112" s="10">
        <f t="shared" si="18"/>
        <v>18</v>
      </c>
      <c r="D112" s="2">
        <v>1</v>
      </c>
      <c r="E112" s="2">
        <v>6</v>
      </c>
      <c r="F112" s="2">
        <v>0</v>
      </c>
      <c r="G112" s="2">
        <v>2</v>
      </c>
      <c r="H112" s="2">
        <v>5</v>
      </c>
      <c r="I112" s="2">
        <v>0</v>
      </c>
      <c r="J112" s="2">
        <v>0</v>
      </c>
      <c r="K112" s="2">
        <v>4</v>
      </c>
      <c r="L112" s="2">
        <v>0</v>
      </c>
      <c r="M112" s="2">
        <v>0</v>
      </c>
      <c r="N112" s="8"/>
      <c r="O112" s="8"/>
      <c r="P112" s="8"/>
      <c r="Q112" s="8"/>
      <c r="R112" s="8"/>
      <c r="S112" s="8"/>
    </row>
    <row r="113" spans="2:19" ht="15.75" thickBot="1" x14ac:dyDescent="0.3">
      <c r="B113" s="12" t="s">
        <v>78</v>
      </c>
      <c r="C113" s="10">
        <f t="shared" si="18"/>
        <v>11</v>
      </c>
      <c r="D113" s="2">
        <v>0</v>
      </c>
      <c r="E113" s="2">
        <v>1</v>
      </c>
      <c r="F113" s="2">
        <v>0</v>
      </c>
      <c r="G113" s="2">
        <v>0</v>
      </c>
      <c r="H113" s="2">
        <v>9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8"/>
      <c r="O113" s="8"/>
      <c r="P113" s="8"/>
      <c r="Q113" s="8"/>
      <c r="R113" s="8"/>
      <c r="S113" s="8"/>
    </row>
    <row r="114" spans="2:19" ht="15.75" thickBot="1" x14ac:dyDescent="0.3">
      <c r="B114" s="12" t="s">
        <v>59</v>
      </c>
      <c r="C114" s="10">
        <f t="shared" si="18"/>
        <v>29</v>
      </c>
      <c r="D114" s="2">
        <v>2</v>
      </c>
      <c r="E114" s="2">
        <v>3</v>
      </c>
      <c r="F114" s="2">
        <v>5</v>
      </c>
      <c r="G114" s="2">
        <v>0</v>
      </c>
      <c r="H114" s="2">
        <v>7</v>
      </c>
      <c r="I114" s="2">
        <v>8</v>
      </c>
      <c r="J114" s="2">
        <v>1</v>
      </c>
      <c r="K114" s="2">
        <v>3</v>
      </c>
      <c r="L114" s="2">
        <v>0</v>
      </c>
      <c r="M114" s="2">
        <v>0</v>
      </c>
      <c r="N114" s="8"/>
      <c r="O114" s="8"/>
      <c r="P114" s="8"/>
      <c r="Q114" s="8"/>
      <c r="R114" s="8"/>
      <c r="S114" s="8"/>
    </row>
    <row r="115" spans="2:19" ht="15.75" thickBot="1" x14ac:dyDescent="0.3">
      <c r="B115" s="13" t="s">
        <v>79</v>
      </c>
      <c r="C115" s="10">
        <f t="shared" si="18"/>
        <v>35</v>
      </c>
      <c r="D115" s="2">
        <v>1</v>
      </c>
      <c r="E115" s="2">
        <v>9</v>
      </c>
      <c r="F115" s="2">
        <v>3</v>
      </c>
      <c r="G115" s="2">
        <v>3</v>
      </c>
      <c r="H115" s="2">
        <v>10</v>
      </c>
      <c r="I115" s="2">
        <v>3</v>
      </c>
      <c r="J115" s="2">
        <v>1</v>
      </c>
      <c r="K115" s="2">
        <v>5</v>
      </c>
      <c r="L115" s="2">
        <v>0</v>
      </c>
      <c r="M115" s="2">
        <v>0</v>
      </c>
      <c r="N115" s="8"/>
      <c r="O115" s="8"/>
      <c r="P115" s="8"/>
      <c r="Q115" s="8"/>
      <c r="R115" s="8"/>
      <c r="S115" s="8"/>
    </row>
    <row r="116" spans="2:19" x14ac:dyDescent="0.25">
      <c r="C116" s="7">
        <f>SUM(C110:C115)</f>
        <v>173</v>
      </c>
      <c r="D116">
        <f>SUM(D110:D115)</f>
        <v>6</v>
      </c>
      <c r="E116">
        <f t="shared" ref="E116:M116" si="19">SUM(E110:E115)</f>
        <v>28</v>
      </c>
      <c r="F116">
        <f t="shared" si="19"/>
        <v>17</v>
      </c>
      <c r="G116">
        <f t="shared" si="19"/>
        <v>5</v>
      </c>
      <c r="H116">
        <f t="shared" si="19"/>
        <v>57</v>
      </c>
      <c r="I116">
        <f t="shared" si="19"/>
        <v>19</v>
      </c>
      <c r="J116">
        <f t="shared" si="19"/>
        <v>19</v>
      </c>
      <c r="K116">
        <f t="shared" si="19"/>
        <v>22</v>
      </c>
      <c r="L116">
        <f t="shared" si="19"/>
        <v>0</v>
      </c>
      <c r="M116">
        <f t="shared" si="19"/>
        <v>0</v>
      </c>
    </row>
    <row r="121" spans="2:19" ht="15.75" thickBot="1" x14ac:dyDescent="0.3">
      <c r="D121" s="42" t="s">
        <v>82</v>
      </c>
      <c r="E121" s="43"/>
      <c r="F121" s="43"/>
      <c r="G121" s="43"/>
      <c r="H121" s="43"/>
      <c r="I121" s="43"/>
      <c r="J121" s="43"/>
      <c r="K121" s="43"/>
      <c r="L121" s="43"/>
      <c r="M121" s="44"/>
      <c r="N121" s="23"/>
      <c r="O121" s="23"/>
      <c r="P121" s="23"/>
      <c r="Q121" s="23"/>
      <c r="R121" s="23"/>
      <c r="S121" s="23"/>
    </row>
    <row r="122" spans="2:19" x14ac:dyDescent="0.25">
      <c r="B122" s="9" t="s">
        <v>60</v>
      </c>
      <c r="C122" s="10" t="s">
        <v>61</v>
      </c>
      <c r="D122" s="7" t="s">
        <v>62</v>
      </c>
      <c r="E122" s="7" t="s">
        <v>63</v>
      </c>
      <c r="F122" s="7" t="s">
        <v>64</v>
      </c>
      <c r="G122" s="7" t="s">
        <v>65</v>
      </c>
      <c r="H122" s="7" t="s">
        <v>66</v>
      </c>
      <c r="I122" s="7" t="s">
        <v>67</v>
      </c>
      <c r="J122" s="7" t="s">
        <v>68</v>
      </c>
      <c r="K122" s="7" t="s">
        <v>70</v>
      </c>
      <c r="L122" s="24" t="s">
        <v>71</v>
      </c>
      <c r="M122" s="2" t="s">
        <v>69</v>
      </c>
      <c r="N122" s="8"/>
      <c r="P122" s="8"/>
      <c r="Q122" s="8"/>
      <c r="R122" s="8"/>
    </row>
    <row r="123" spans="2:19" x14ac:dyDescent="0.25">
      <c r="B123" s="12" t="s">
        <v>98</v>
      </c>
      <c r="C123" s="2">
        <f>SUM(D123:M123)</f>
        <v>44</v>
      </c>
      <c r="D123" s="2">
        <v>9</v>
      </c>
      <c r="E123" s="2">
        <v>6</v>
      </c>
      <c r="F123" s="2">
        <v>1</v>
      </c>
      <c r="G123" s="2">
        <v>0</v>
      </c>
      <c r="H123" s="2">
        <v>5</v>
      </c>
      <c r="I123" s="2">
        <v>13</v>
      </c>
      <c r="J123" s="2">
        <v>5</v>
      </c>
      <c r="K123" s="2">
        <v>4</v>
      </c>
      <c r="L123" s="3">
        <v>0</v>
      </c>
      <c r="M123" s="2">
        <v>1</v>
      </c>
      <c r="N123" s="8"/>
      <c r="P123" s="8"/>
      <c r="Q123" s="8"/>
      <c r="R123" s="8"/>
    </row>
    <row r="124" spans="2:19" x14ac:dyDescent="0.25">
      <c r="B124" s="12" t="s">
        <v>73</v>
      </c>
      <c r="C124" s="2">
        <f t="shared" ref="C124:C127" si="20">SUM(D124:M124)</f>
        <v>138</v>
      </c>
      <c r="D124" s="2">
        <v>6</v>
      </c>
      <c r="E124" s="2">
        <v>52</v>
      </c>
      <c r="F124" s="2">
        <v>6</v>
      </c>
      <c r="G124" s="2">
        <v>3</v>
      </c>
      <c r="H124" s="2">
        <v>27</v>
      </c>
      <c r="I124" s="2">
        <v>16</v>
      </c>
      <c r="J124" s="2">
        <v>13</v>
      </c>
      <c r="K124" s="2">
        <v>15</v>
      </c>
      <c r="L124" s="3">
        <v>0</v>
      </c>
      <c r="M124" s="2">
        <v>0</v>
      </c>
      <c r="N124" s="8"/>
      <c r="P124" s="8"/>
      <c r="Q124" s="8"/>
      <c r="R124" s="8"/>
    </row>
    <row r="125" spans="2:19" x14ac:dyDescent="0.25">
      <c r="B125" s="12" t="s">
        <v>74</v>
      </c>
      <c r="C125" s="2">
        <f t="shared" si="20"/>
        <v>62</v>
      </c>
      <c r="D125" s="2">
        <v>2</v>
      </c>
      <c r="E125" s="2">
        <v>14</v>
      </c>
      <c r="F125" s="2">
        <v>5</v>
      </c>
      <c r="G125" s="2">
        <v>2</v>
      </c>
      <c r="H125" s="2">
        <v>20</v>
      </c>
      <c r="I125" s="2">
        <v>5</v>
      </c>
      <c r="J125" s="2">
        <v>3</v>
      </c>
      <c r="K125" s="2">
        <v>10</v>
      </c>
      <c r="L125" s="3">
        <v>1</v>
      </c>
      <c r="M125" s="2">
        <v>0</v>
      </c>
      <c r="N125" s="8"/>
      <c r="P125" s="8"/>
      <c r="Q125" s="8"/>
      <c r="R125" s="8"/>
    </row>
    <row r="126" spans="2:19" x14ac:dyDescent="0.25">
      <c r="B126" s="12" t="s">
        <v>75</v>
      </c>
      <c r="C126" s="2">
        <f t="shared" si="20"/>
        <v>63</v>
      </c>
      <c r="D126" s="2">
        <v>2</v>
      </c>
      <c r="E126" s="2">
        <v>9</v>
      </c>
      <c r="F126" s="2">
        <v>3</v>
      </c>
      <c r="G126" s="2">
        <v>6</v>
      </c>
      <c r="H126" s="2">
        <v>9</v>
      </c>
      <c r="I126" s="2">
        <v>19</v>
      </c>
      <c r="J126" s="2">
        <v>7</v>
      </c>
      <c r="K126" s="2">
        <v>7</v>
      </c>
      <c r="L126" s="3">
        <v>0</v>
      </c>
      <c r="M126" s="2">
        <v>1</v>
      </c>
      <c r="N126" s="8"/>
      <c r="P126" s="8"/>
      <c r="Q126" s="8"/>
      <c r="R126" s="8"/>
    </row>
    <row r="127" spans="2:19" ht="15.75" thickBot="1" x14ac:dyDescent="0.3">
      <c r="B127" s="13" t="s">
        <v>76</v>
      </c>
      <c r="C127" s="2">
        <f t="shared" si="20"/>
        <v>79</v>
      </c>
      <c r="D127" s="14">
        <v>12</v>
      </c>
      <c r="E127" s="14">
        <v>26</v>
      </c>
      <c r="F127" s="14">
        <v>2</v>
      </c>
      <c r="G127" s="14">
        <v>5</v>
      </c>
      <c r="H127" s="14">
        <v>3</v>
      </c>
      <c r="I127" s="14">
        <v>8</v>
      </c>
      <c r="J127" s="14">
        <v>10</v>
      </c>
      <c r="K127" s="14">
        <v>13</v>
      </c>
      <c r="L127" s="25">
        <v>0</v>
      </c>
      <c r="M127" s="2">
        <v>0</v>
      </c>
      <c r="N127" s="8"/>
      <c r="P127" s="8"/>
      <c r="Q127" s="8"/>
      <c r="R127" s="8"/>
    </row>
    <row r="128" spans="2:19" x14ac:dyDescent="0.25">
      <c r="C128" s="2">
        <f>SUM(C123:C127)</f>
        <v>386</v>
      </c>
      <c r="D128">
        <f>SUM(D123:D127)</f>
        <v>31</v>
      </c>
    </row>
    <row r="129" spans="2:19" x14ac:dyDescent="0.25">
      <c r="C129" t="s">
        <v>100</v>
      </c>
    </row>
    <row r="132" spans="2:19" ht="15.75" thickBot="1" x14ac:dyDescent="0.3">
      <c r="D132" s="42" t="s">
        <v>83</v>
      </c>
      <c r="E132" s="43"/>
      <c r="F132" s="43"/>
      <c r="G132" s="43"/>
      <c r="H132" s="43"/>
      <c r="I132" s="43"/>
      <c r="J132" s="43"/>
      <c r="K132" s="43"/>
      <c r="L132" s="43"/>
      <c r="M132" s="44"/>
      <c r="N132" s="23"/>
      <c r="O132" s="23"/>
      <c r="P132" s="23"/>
      <c r="Q132" s="23"/>
      <c r="R132" s="23"/>
      <c r="S132" s="23"/>
    </row>
    <row r="133" spans="2:19" ht="15.75" thickBot="1" x14ac:dyDescent="0.3">
      <c r="B133" s="15" t="s">
        <v>60</v>
      </c>
      <c r="C133" s="16" t="s">
        <v>61</v>
      </c>
      <c r="D133" s="17" t="s">
        <v>62</v>
      </c>
      <c r="E133" s="17" t="s">
        <v>63</v>
      </c>
      <c r="F133" s="17" t="s">
        <v>64</v>
      </c>
      <c r="G133" s="17" t="s">
        <v>65</v>
      </c>
      <c r="H133" s="17" t="s">
        <v>66</v>
      </c>
      <c r="I133" s="17" t="s">
        <v>67</v>
      </c>
      <c r="J133" s="17" t="s">
        <v>68</v>
      </c>
      <c r="K133" s="17" t="s">
        <v>70</v>
      </c>
      <c r="L133" s="26" t="s">
        <v>71</v>
      </c>
      <c r="M133" s="2" t="s">
        <v>69</v>
      </c>
      <c r="N133" s="8"/>
      <c r="P133" s="8"/>
      <c r="Q133" s="8"/>
      <c r="R133" s="8"/>
    </row>
    <row r="134" spans="2:19" x14ac:dyDescent="0.25">
      <c r="B134" s="9" t="s">
        <v>77</v>
      </c>
      <c r="C134" s="10">
        <f t="shared" ref="C134:C139" si="21">SUM(D134:R134)</f>
        <v>55</v>
      </c>
      <c r="D134" s="10">
        <v>3</v>
      </c>
      <c r="E134" s="10">
        <v>5</v>
      </c>
      <c r="F134" s="10">
        <v>5</v>
      </c>
      <c r="G134" s="10">
        <v>0</v>
      </c>
      <c r="H134" s="10">
        <v>13</v>
      </c>
      <c r="I134" s="10">
        <v>9</v>
      </c>
      <c r="J134" s="10">
        <v>5</v>
      </c>
      <c r="K134" s="10">
        <v>15</v>
      </c>
      <c r="L134" s="27">
        <v>0</v>
      </c>
      <c r="M134" s="2" t="s">
        <v>84</v>
      </c>
      <c r="N134" s="8"/>
      <c r="P134" s="8"/>
      <c r="Q134" s="8"/>
      <c r="R134" s="8"/>
    </row>
    <row r="135" spans="2:19" x14ac:dyDescent="0.25">
      <c r="B135" s="12" t="s">
        <v>58</v>
      </c>
      <c r="C135" s="2">
        <f t="shared" si="21"/>
        <v>24</v>
      </c>
      <c r="D135" s="2">
        <v>0</v>
      </c>
      <c r="E135" s="2">
        <v>0</v>
      </c>
      <c r="F135" s="2">
        <v>3</v>
      </c>
      <c r="G135" s="2">
        <v>1</v>
      </c>
      <c r="H135" s="2">
        <v>0</v>
      </c>
      <c r="I135" s="2">
        <v>9</v>
      </c>
      <c r="J135" s="2">
        <v>8</v>
      </c>
      <c r="K135" s="2">
        <v>2</v>
      </c>
      <c r="L135" s="3">
        <v>0</v>
      </c>
      <c r="M135" s="2">
        <v>1</v>
      </c>
      <c r="N135" s="8"/>
      <c r="P135" s="8"/>
      <c r="Q135" s="8"/>
      <c r="R135" s="8"/>
    </row>
    <row r="136" spans="2:19" x14ac:dyDescent="0.25">
      <c r="B136" s="12" t="s">
        <v>56</v>
      </c>
      <c r="C136" s="2">
        <f t="shared" si="21"/>
        <v>22</v>
      </c>
      <c r="D136" s="2">
        <v>0</v>
      </c>
      <c r="E136" s="2">
        <v>8</v>
      </c>
      <c r="F136" s="2">
        <v>1</v>
      </c>
      <c r="G136" s="2">
        <v>4</v>
      </c>
      <c r="H136" s="2">
        <v>8</v>
      </c>
      <c r="I136" s="2">
        <v>0</v>
      </c>
      <c r="J136" s="2">
        <v>1</v>
      </c>
      <c r="K136" s="2">
        <v>0</v>
      </c>
      <c r="L136" s="3">
        <v>0</v>
      </c>
      <c r="M136" s="2">
        <v>0</v>
      </c>
      <c r="N136" s="8"/>
      <c r="P136" s="8"/>
      <c r="Q136" s="8"/>
      <c r="R136" s="8"/>
    </row>
    <row r="137" spans="2:19" x14ac:dyDescent="0.25">
      <c r="B137" s="12" t="s">
        <v>78</v>
      </c>
      <c r="C137" s="2">
        <f t="shared" si="21"/>
        <v>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3">
        <v>0</v>
      </c>
      <c r="M137" s="2">
        <v>0</v>
      </c>
      <c r="N137" s="8"/>
      <c r="P137" s="8"/>
      <c r="Q137" s="8"/>
      <c r="R137" s="8"/>
    </row>
    <row r="138" spans="2:19" x14ac:dyDescent="0.25">
      <c r="B138" s="12" t="s">
        <v>59</v>
      </c>
      <c r="C138" s="2">
        <f t="shared" si="21"/>
        <v>18</v>
      </c>
      <c r="D138" s="2">
        <v>0</v>
      </c>
      <c r="E138" s="2">
        <v>3</v>
      </c>
      <c r="F138" s="2">
        <v>2</v>
      </c>
      <c r="G138" s="2">
        <v>0</v>
      </c>
      <c r="H138" s="2">
        <v>1</v>
      </c>
      <c r="I138" s="2">
        <v>11</v>
      </c>
      <c r="J138" s="2">
        <v>0</v>
      </c>
      <c r="K138" s="2">
        <v>1</v>
      </c>
      <c r="L138" s="3">
        <v>0</v>
      </c>
      <c r="M138" s="2">
        <v>0</v>
      </c>
      <c r="N138" s="8"/>
      <c r="P138" s="8"/>
      <c r="Q138" s="8"/>
      <c r="R138" s="8"/>
    </row>
    <row r="139" spans="2:19" ht="15.75" thickBot="1" x14ac:dyDescent="0.3">
      <c r="B139" s="13" t="s">
        <v>79</v>
      </c>
      <c r="C139" s="2">
        <f t="shared" si="21"/>
        <v>31</v>
      </c>
      <c r="D139" s="14">
        <v>0</v>
      </c>
      <c r="E139" s="14">
        <v>7</v>
      </c>
      <c r="F139" s="14">
        <v>5</v>
      </c>
      <c r="G139" s="14">
        <v>0</v>
      </c>
      <c r="H139" s="14">
        <v>12</v>
      </c>
      <c r="I139" s="14">
        <v>1</v>
      </c>
      <c r="J139" s="14">
        <v>3</v>
      </c>
      <c r="K139" s="14">
        <v>3</v>
      </c>
      <c r="L139" s="25">
        <v>0</v>
      </c>
      <c r="M139" s="2">
        <v>0</v>
      </c>
      <c r="N139" s="8"/>
      <c r="P139" s="8"/>
      <c r="Q139" s="8"/>
      <c r="R139" s="8"/>
    </row>
    <row r="140" spans="2:19" x14ac:dyDescent="0.25">
      <c r="C140" s="7">
        <f>SUM(C134:C139)</f>
        <v>152</v>
      </c>
      <c r="D140">
        <f>SUM(D134:D139)</f>
        <v>3</v>
      </c>
      <c r="E140">
        <f t="shared" ref="E140:M140" si="22">SUM(E134:E139)</f>
        <v>23</v>
      </c>
      <c r="F140">
        <f t="shared" si="22"/>
        <v>16</v>
      </c>
      <c r="G140">
        <f t="shared" si="22"/>
        <v>5</v>
      </c>
      <c r="H140">
        <f t="shared" si="22"/>
        <v>34</v>
      </c>
      <c r="I140">
        <f t="shared" si="22"/>
        <v>32</v>
      </c>
      <c r="J140">
        <f t="shared" si="22"/>
        <v>17</v>
      </c>
      <c r="K140">
        <f t="shared" si="22"/>
        <v>21</v>
      </c>
      <c r="L140">
        <f t="shared" si="22"/>
        <v>0</v>
      </c>
      <c r="M140">
        <f t="shared" si="22"/>
        <v>1</v>
      </c>
    </row>
    <row r="145" spans="2:19" ht="15.75" thickBot="1" x14ac:dyDescent="0.3">
      <c r="D145" s="45" t="s">
        <v>95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23"/>
      <c r="O145" s="23"/>
      <c r="P145" s="23"/>
      <c r="Q145" s="23"/>
      <c r="R145" s="23"/>
      <c r="S145" s="23"/>
    </row>
    <row r="146" spans="2:19" x14ac:dyDescent="0.25">
      <c r="B146" s="9" t="s">
        <v>60</v>
      </c>
      <c r="C146" s="10" t="s">
        <v>61</v>
      </c>
      <c r="D146" s="2" t="s">
        <v>62</v>
      </c>
      <c r="E146" s="2" t="s">
        <v>63</v>
      </c>
      <c r="F146" s="2" t="s">
        <v>64</v>
      </c>
      <c r="G146" s="2" t="s">
        <v>65</v>
      </c>
      <c r="H146" s="2" t="s">
        <v>66</v>
      </c>
      <c r="I146" s="2" t="s">
        <v>67</v>
      </c>
      <c r="J146" s="2" t="s">
        <v>68</v>
      </c>
      <c r="K146" s="2" t="s">
        <v>70</v>
      </c>
      <c r="L146" s="2" t="s">
        <v>71</v>
      </c>
      <c r="M146" s="2" t="s">
        <v>69</v>
      </c>
      <c r="N146" s="8"/>
      <c r="O146" s="8"/>
      <c r="P146" s="8"/>
      <c r="Q146" s="8"/>
      <c r="R146" s="8"/>
      <c r="S146" s="8"/>
    </row>
    <row r="147" spans="2:19" x14ac:dyDescent="0.25">
      <c r="B147" s="12" t="s">
        <v>98</v>
      </c>
      <c r="C147" s="2">
        <f>SUM(D147:M147)</f>
        <v>97</v>
      </c>
      <c r="D147" s="2">
        <v>0</v>
      </c>
      <c r="E147" s="2">
        <v>19</v>
      </c>
      <c r="F147" s="2">
        <v>23</v>
      </c>
      <c r="G147" s="2">
        <v>1</v>
      </c>
      <c r="H147" s="2">
        <v>19</v>
      </c>
      <c r="I147" s="2">
        <v>18</v>
      </c>
      <c r="J147" s="2">
        <v>2</v>
      </c>
      <c r="K147" s="2">
        <v>13</v>
      </c>
      <c r="L147" s="2">
        <v>0</v>
      </c>
      <c r="M147" s="2">
        <v>2</v>
      </c>
      <c r="N147" s="8"/>
      <c r="O147" s="8"/>
      <c r="P147" s="8"/>
      <c r="Q147" s="8"/>
      <c r="R147" s="8"/>
      <c r="S147" s="8"/>
    </row>
    <row r="148" spans="2:19" x14ac:dyDescent="0.25">
      <c r="B148" s="12" t="s">
        <v>73</v>
      </c>
      <c r="C148" s="2">
        <f t="shared" ref="C148:C151" si="23">SUM(D148:M148)</f>
        <v>126</v>
      </c>
      <c r="D148" s="2">
        <v>3</v>
      </c>
      <c r="E148" s="2">
        <v>35</v>
      </c>
      <c r="F148" s="2">
        <v>12</v>
      </c>
      <c r="G148" s="2">
        <v>4</v>
      </c>
      <c r="H148" s="2">
        <v>32</v>
      </c>
      <c r="I148" s="2">
        <v>7</v>
      </c>
      <c r="J148" s="2">
        <v>1</v>
      </c>
      <c r="K148" s="2">
        <v>28</v>
      </c>
      <c r="L148" s="2">
        <v>0</v>
      </c>
      <c r="M148" s="2">
        <v>4</v>
      </c>
      <c r="N148" s="8"/>
      <c r="O148" s="8"/>
      <c r="P148" s="8"/>
      <c r="Q148" s="8"/>
      <c r="R148" s="8"/>
      <c r="S148" s="8"/>
    </row>
    <row r="149" spans="2:19" x14ac:dyDescent="0.25">
      <c r="B149" s="12" t="s">
        <v>74</v>
      </c>
      <c r="C149" s="2">
        <f t="shared" si="23"/>
        <v>51</v>
      </c>
      <c r="D149" s="2">
        <v>1</v>
      </c>
      <c r="E149" s="2">
        <v>7</v>
      </c>
      <c r="F149" s="2">
        <v>12</v>
      </c>
      <c r="G149" s="2">
        <v>2</v>
      </c>
      <c r="H149" s="2">
        <v>20</v>
      </c>
      <c r="I149" s="2">
        <v>1</v>
      </c>
      <c r="J149" s="2">
        <v>2</v>
      </c>
      <c r="K149" s="2">
        <v>5</v>
      </c>
      <c r="L149" s="2">
        <v>0</v>
      </c>
      <c r="M149" s="2">
        <v>1</v>
      </c>
      <c r="N149" s="8"/>
      <c r="O149" s="8"/>
      <c r="P149" s="8"/>
      <c r="Q149" s="8"/>
      <c r="R149" s="8"/>
      <c r="S149" s="8"/>
    </row>
    <row r="150" spans="2:19" x14ac:dyDescent="0.25">
      <c r="B150" s="12" t="s">
        <v>75</v>
      </c>
      <c r="C150" s="2">
        <f t="shared" si="23"/>
        <v>80</v>
      </c>
      <c r="D150" s="2">
        <v>0</v>
      </c>
      <c r="E150" s="2">
        <v>7</v>
      </c>
      <c r="F150" s="2">
        <v>1</v>
      </c>
      <c r="G150" s="2">
        <v>9</v>
      </c>
      <c r="H150" s="2">
        <v>37</v>
      </c>
      <c r="I150" s="2">
        <v>19</v>
      </c>
      <c r="J150" s="2">
        <v>1</v>
      </c>
      <c r="K150" s="2">
        <v>5</v>
      </c>
      <c r="L150" s="2">
        <v>0</v>
      </c>
      <c r="M150" s="2">
        <v>1</v>
      </c>
      <c r="N150" s="8"/>
      <c r="O150" s="8"/>
      <c r="P150" s="8"/>
      <c r="Q150" s="8"/>
      <c r="R150" s="8"/>
      <c r="S150" s="8"/>
    </row>
    <row r="151" spans="2:19" ht="15.75" thickBot="1" x14ac:dyDescent="0.3">
      <c r="B151" s="13" t="s">
        <v>76</v>
      </c>
      <c r="C151" s="2">
        <f t="shared" si="23"/>
        <v>75</v>
      </c>
      <c r="D151" s="2">
        <v>1</v>
      </c>
      <c r="E151" s="2">
        <v>12</v>
      </c>
      <c r="F151" s="2">
        <v>9</v>
      </c>
      <c r="G151" s="2">
        <v>2</v>
      </c>
      <c r="H151" s="2">
        <v>26</v>
      </c>
      <c r="I151" s="2">
        <v>11</v>
      </c>
      <c r="J151" s="2">
        <v>3</v>
      </c>
      <c r="K151" s="2">
        <v>9</v>
      </c>
      <c r="L151" s="2">
        <v>2</v>
      </c>
      <c r="M151" s="2">
        <v>0</v>
      </c>
      <c r="N151" s="8"/>
      <c r="O151" s="8"/>
      <c r="P151" s="8"/>
      <c r="Q151" s="8"/>
      <c r="R151" s="8"/>
      <c r="S151" s="8"/>
    </row>
    <row r="152" spans="2:19" x14ac:dyDescent="0.25">
      <c r="C152" s="2">
        <f>SUM(C147:C151)</f>
        <v>429</v>
      </c>
      <c r="D152">
        <f>SUM(D147:D151)</f>
        <v>5</v>
      </c>
      <c r="E152">
        <f t="shared" ref="E152:M152" si="24">SUM(E147:E151)</f>
        <v>80</v>
      </c>
      <c r="F152">
        <f t="shared" si="24"/>
        <v>57</v>
      </c>
      <c r="G152">
        <f t="shared" si="24"/>
        <v>18</v>
      </c>
      <c r="H152">
        <f t="shared" si="24"/>
        <v>134</v>
      </c>
      <c r="I152">
        <f t="shared" si="24"/>
        <v>56</v>
      </c>
      <c r="J152">
        <f t="shared" si="24"/>
        <v>9</v>
      </c>
      <c r="K152">
        <f t="shared" si="24"/>
        <v>60</v>
      </c>
      <c r="L152">
        <f t="shared" si="24"/>
        <v>2</v>
      </c>
      <c r="M152">
        <f t="shared" si="24"/>
        <v>8</v>
      </c>
    </row>
    <row r="156" spans="2:19" ht="15.75" thickBot="1" x14ac:dyDescent="0.3">
      <c r="D156" s="45" t="s">
        <v>96</v>
      </c>
      <c r="E156" s="45"/>
      <c r="F156" s="45"/>
      <c r="G156" s="45"/>
      <c r="H156" s="45"/>
      <c r="I156" s="45"/>
      <c r="J156" s="45"/>
      <c r="K156" s="45"/>
      <c r="L156" s="45"/>
      <c r="M156" s="45"/>
      <c r="N156" s="23"/>
      <c r="O156" s="23"/>
      <c r="P156" s="23"/>
      <c r="Q156" s="23"/>
      <c r="R156" s="23"/>
      <c r="S156" s="23"/>
    </row>
    <row r="157" spans="2:19" ht="15.75" thickBot="1" x14ac:dyDescent="0.3">
      <c r="B157" s="15" t="s">
        <v>60</v>
      </c>
      <c r="C157" s="16" t="s">
        <v>61</v>
      </c>
      <c r="D157" s="2" t="s">
        <v>62</v>
      </c>
      <c r="E157" s="2" t="s">
        <v>63</v>
      </c>
      <c r="F157" s="2" t="s">
        <v>64</v>
      </c>
      <c r="G157" s="2" t="s">
        <v>65</v>
      </c>
      <c r="H157" s="2" t="s">
        <v>66</v>
      </c>
      <c r="I157" s="2" t="s">
        <v>67</v>
      </c>
      <c r="J157" s="2" t="s">
        <v>68</v>
      </c>
      <c r="K157" s="2" t="s">
        <v>70</v>
      </c>
      <c r="L157" s="2" t="s">
        <v>71</v>
      </c>
      <c r="M157" s="2" t="s">
        <v>69</v>
      </c>
      <c r="N157" s="8"/>
      <c r="O157" s="8"/>
      <c r="P157" s="8"/>
      <c r="Q157" s="8"/>
      <c r="R157" s="8"/>
      <c r="S157" s="8"/>
    </row>
    <row r="158" spans="2:19" x14ac:dyDescent="0.25">
      <c r="B158" s="9" t="s">
        <v>77</v>
      </c>
      <c r="C158" s="10">
        <f t="shared" ref="C158:C163" si="25">SUM(D158:R158)</f>
        <v>33</v>
      </c>
      <c r="D158" s="2">
        <v>0</v>
      </c>
      <c r="E158" s="2">
        <v>3</v>
      </c>
      <c r="F158" s="2">
        <v>3</v>
      </c>
      <c r="G158" s="2">
        <v>0</v>
      </c>
      <c r="H158" s="2">
        <v>15</v>
      </c>
      <c r="I158" s="2">
        <v>1</v>
      </c>
      <c r="J158" s="2">
        <v>2</v>
      </c>
      <c r="K158" s="2">
        <v>8</v>
      </c>
      <c r="L158" s="2">
        <v>0</v>
      </c>
      <c r="M158" s="2">
        <v>1</v>
      </c>
      <c r="N158" s="8"/>
      <c r="O158" s="8"/>
      <c r="P158" s="8"/>
      <c r="Q158" s="8"/>
      <c r="R158" s="8"/>
      <c r="S158" s="8"/>
    </row>
    <row r="159" spans="2:19" x14ac:dyDescent="0.25">
      <c r="B159" s="12" t="s">
        <v>58</v>
      </c>
      <c r="C159" s="2">
        <f t="shared" si="25"/>
        <v>33</v>
      </c>
      <c r="D159" s="2">
        <v>0</v>
      </c>
      <c r="E159" s="2">
        <v>1</v>
      </c>
      <c r="F159" s="2">
        <v>1</v>
      </c>
      <c r="G159" s="2">
        <v>0</v>
      </c>
      <c r="H159" s="2">
        <v>18</v>
      </c>
      <c r="I159" s="2">
        <v>6</v>
      </c>
      <c r="J159" s="2">
        <v>1</v>
      </c>
      <c r="K159" s="2">
        <v>5</v>
      </c>
      <c r="L159" s="2">
        <v>0</v>
      </c>
      <c r="M159" s="2">
        <v>1</v>
      </c>
      <c r="N159" s="8"/>
      <c r="O159" s="8"/>
      <c r="P159" s="8"/>
      <c r="Q159" s="8"/>
      <c r="R159" s="8"/>
      <c r="S159" s="8"/>
    </row>
    <row r="160" spans="2:19" x14ac:dyDescent="0.25">
      <c r="B160" s="12" t="s">
        <v>56</v>
      </c>
      <c r="C160" s="2">
        <f t="shared" si="25"/>
        <v>10</v>
      </c>
      <c r="D160" s="2">
        <v>0</v>
      </c>
      <c r="E160" s="2">
        <v>1</v>
      </c>
      <c r="F160" s="2">
        <v>1</v>
      </c>
      <c r="G160" s="2">
        <v>1</v>
      </c>
      <c r="H160" s="2">
        <v>5</v>
      </c>
      <c r="I160" s="2">
        <v>0</v>
      </c>
      <c r="J160" s="2">
        <v>0</v>
      </c>
      <c r="K160" s="2">
        <v>2</v>
      </c>
      <c r="L160" s="2">
        <v>0</v>
      </c>
      <c r="M160" s="2">
        <v>0</v>
      </c>
      <c r="N160" s="8"/>
      <c r="O160" s="8"/>
      <c r="P160" s="8"/>
      <c r="Q160" s="8"/>
      <c r="R160" s="8"/>
      <c r="S160" s="8"/>
    </row>
    <row r="161" spans="2:19" x14ac:dyDescent="0.25">
      <c r="B161" s="12" t="s">
        <v>78</v>
      </c>
      <c r="C161" s="2">
        <f t="shared" si="25"/>
        <v>7</v>
      </c>
      <c r="D161" s="2">
        <v>0</v>
      </c>
      <c r="E161" s="2">
        <v>2</v>
      </c>
      <c r="F161" s="2">
        <v>1</v>
      </c>
      <c r="G161" s="2">
        <v>2</v>
      </c>
      <c r="H161" s="2">
        <v>1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8"/>
      <c r="O161" s="8"/>
      <c r="P161" s="8"/>
      <c r="Q161" s="8"/>
      <c r="R161" s="8"/>
      <c r="S161" s="8"/>
    </row>
    <row r="162" spans="2:19" x14ac:dyDescent="0.25">
      <c r="B162" s="12" t="s">
        <v>59</v>
      </c>
      <c r="C162" s="2">
        <f t="shared" si="25"/>
        <v>15</v>
      </c>
      <c r="D162" s="2">
        <v>0</v>
      </c>
      <c r="E162" s="2">
        <v>1</v>
      </c>
      <c r="F162" s="2">
        <v>2</v>
      </c>
      <c r="G162" s="2">
        <v>0</v>
      </c>
      <c r="H162" s="2">
        <v>8</v>
      </c>
      <c r="I162" s="2">
        <v>2</v>
      </c>
      <c r="J162" s="2">
        <v>0</v>
      </c>
      <c r="K162" s="2">
        <v>2</v>
      </c>
      <c r="L162" s="2">
        <v>0</v>
      </c>
      <c r="M162" s="2">
        <v>0</v>
      </c>
      <c r="N162" s="8"/>
      <c r="O162" s="8"/>
      <c r="P162" s="8"/>
      <c r="Q162" s="8"/>
      <c r="R162" s="8"/>
      <c r="S162" s="8"/>
    </row>
    <row r="163" spans="2:19" ht="15.75" thickBot="1" x14ac:dyDescent="0.3">
      <c r="B163" s="13" t="s">
        <v>79</v>
      </c>
      <c r="C163" s="2">
        <f t="shared" si="25"/>
        <v>33</v>
      </c>
      <c r="D163" s="2">
        <v>0</v>
      </c>
      <c r="E163" s="2">
        <v>6</v>
      </c>
      <c r="F163" s="2">
        <v>7</v>
      </c>
      <c r="G163" s="2">
        <v>3</v>
      </c>
      <c r="H163" s="2">
        <v>8</v>
      </c>
      <c r="I163" s="2">
        <v>0</v>
      </c>
      <c r="J163" s="17">
        <v>0</v>
      </c>
      <c r="K163" s="2">
        <v>9</v>
      </c>
      <c r="L163" s="2">
        <v>0</v>
      </c>
      <c r="M163" s="2">
        <v>0</v>
      </c>
      <c r="N163" s="8"/>
      <c r="O163" s="8"/>
      <c r="P163" s="8"/>
      <c r="Q163" s="8"/>
      <c r="R163" s="8"/>
      <c r="S163" s="8"/>
    </row>
    <row r="164" spans="2:19" x14ac:dyDescent="0.25">
      <c r="C164" s="7">
        <f>SUM(C158:C163)</f>
        <v>131</v>
      </c>
      <c r="D164">
        <f>SUM(D158:D163)</f>
        <v>0</v>
      </c>
      <c r="E164">
        <f t="shared" ref="E164:M164" si="26">SUM(E158:E163)</f>
        <v>14</v>
      </c>
      <c r="F164">
        <f t="shared" si="26"/>
        <v>15</v>
      </c>
      <c r="G164">
        <f t="shared" si="26"/>
        <v>6</v>
      </c>
      <c r="H164">
        <f t="shared" si="26"/>
        <v>55</v>
      </c>
      <c r="I164">
        <f t="shared" si="26"/>
        <v>9</v>
      </c>
      <c r="J164">
        <f t="shared" si="26"/>
        <v>3</v>
      </c>
      <c r="K164">
        <f t="shared" si="26"/>
        <v>27</v>
      </c>
      <c r="L164">
        <f t="shared" si="26"/>
        <v>0</v>
      </c>
      <c r="M164">
        <f t="shared" si="26"/>
        <v>2</v>
      </c>
    </row>
    <row r="168" spans="2:19" ht="15.75" thickBot="1" x14ac:dyDescent="0.3">
      <c r="D168" s="45" t="s">
        <v>81</v>
      </c>
      <c r="E168" s="45"/>
      <c r="F168" s="45"/>
      <c r="G168" s="45"/>
      <c r="H168" s="45"/>
      <c r="I168" s="45"/>
      <c r="J168" s="45"/>
      <c r="K168" s="45"/>
      <c r="L168" s="45"/>
      <c r="M168" s="45"/>
      <c r="N168" s="23"/>
      <c r="O168" s="23"/>
      <c r="P168" s="23"/>
      <c r="Q168" s="23"/>
      <c r="R168" s="23"/>
      <c r="S168" s="23"/>
    </row>
    <row r="169" spans="2:19" x14ac:dyDescent="0.25">
      <c r="B169" s="9" t="s">
        <v>60</v>
      </c>
      <c r="C169" s="10" t="s">
        <v>61</v>
      </c>
      <c r="D169" s="2" t="s">
        <v>62</v>
      </c>
      <c r="E169" s="2" t="s">
        <v>63</v>
      </c>
      <c r="F169" s="2" t="s">
        <v>64</v>
      </c>
      <c r="G169" s="2" t="s">
        <v>65</v>
      </c>
      <c r="H169" s="2" t="s">
        <v>66</v>
      </c>
      <c r="I169" s="2" t="s">
        <v>67</v>
      </c>
      <c r="J169" s="2" t="s">
        <v>68</v>
      </c>
      <c r="K169" s="2" t="s">
        <v>70</v>
      </c>
      <c r="L169" s="2" t="s">
        <v>71</v>
      </c>
      <c r="M169" s="2" t="s">
        <v>69</v>
      </c>
      <c r="N169" s="8"/>
      <c r="P169" s="8"/>
      <c r="Q169" s="8"/>
      <c r="R169" s="8"/>
    </row>
    <row r="170" spans="2:19" x14ac:dyDescent="0.25">
      <c r="B170" s="12" t="s">
        <v>72</v>
      </c>
      <c r="C170" s="2">
        <f>SUM(D170:M170)</f>
        <v>37</v>
      </c>
      <c r="D170" s="2">
        <v>0</v>
      </c>
      <c r="E170" s="2">
        <v>14</v>
      </c>
      <c r="F170" s="2">
        <v>4</v>
      </c>
      <c r="G170" s="2">
        <v>1</v>
      </c>
      <c r="H170" s="2">
        <v>6</v>
      </c>
      <c r="I170" s="2">
        <v>0</v>
      </c>
      <c r="J170" s="2">
        <v>0</v>
      </c>
      <c r="K170" s="2">
        <v>12</v>
      </c>
      <c r="L170" s="2">
        <v>0</v>
      </c>
      <c r="M170" s="2">
        <v>0</v>
      </c>
      <c r="N170" s="8"/>
      <c r="P170" s="8"/>
      <c r="Q170" s="8"/>
      <c r="R170" s="8"/>
    </row>
    <row r="171" spans="2:19" x14ac:dyDescent="0.25">
      <c r="B171" s="12" t="s">
        <v>73</v>
      </c>
      <c r="C171" s="2">
        <f t="shared" ref="C171:C174" si="27">SUM(D171:M171)</f>
        <v>77</v>
      </c>
      <c r="D171" s="2">
        <v>0</v>
      </c>
      <c r="E171" s="2">
        <v>19</v>
      </c>
      <c r="F171" s="2">
        <v>1</v>
      </c>
      <c r="G171" s="2">
        <v>3</v>
      </c>
      <c r="H171" s="2">
        <v>31</v>
      </c>
      <c r="I171" s="2">
        <v>0</v>
      </c>
      <c r="J171" s="2">
        <v>0</v>
      </c>
      <c r="K171" s="2">
        <v>22</v>
      </c>
      <c r="L171" s="2">
        <v>0</v>
      </c>
      <c r="M171" s="2">
        <v>1</v>
      </c>
      <c r="N171" s="8"/>
      <c r="P171" s="8"/>
      <c r="Q171" s="8"/>
      <c r="R171" s="8"/>
    </row>
    <row r="172" spans="2:19" x14ac:dyDescent="0.25">
      <c r="B172" s="12" t="s">
        <v>74</v>
      </c>
      <c r="C172" s="2">
        <f t="shared" si="27"/>
        <v>35</v>
      </c>
      <c r="D172" s="2">
        <v>0</v>
      </c>
      <c r="E172" s="2">
        <v>7</v>
      </c>
      <c r="F172" s="2">
        <v>7</v>
      </c>
      <c r="G172" s="2">
        <v>0</v>
      </c>
      <c r="H172" s="2">
        <v>10</v>
      </c>
      <c r="I172" s="2">
        <v>1</v>
      </c>
      <c r="J172" s="2">
        <v>0</v>
      </c>
      <c r="K172" s="2">
        <v>10</v>
      </c>
      <c r="L172" s="2">
        <v>0</v>
      </c>
      <c r="M172" s="2">
        <v>0</v>
      </c>
      <c r="N172" s="8"/>
      <c r="P172" s="8"/>
      <c r="Q172" s="8"/>
      <c r="R172" s="8"/>
    </row>
    <row r="173" spans="2:19" x14ac:dyDescent="0.25">
      <c r="B173" s="12" t="s">
        <v>75</v>
      </c>
      <c r="C173" s="2">
        <f t="shared" si="27"/>
        <v>48</v>
      </c>
      <c r="D173" s="2">
        <v>0</v>
      </c>
      <c r="E173" s="2">
        <v>7</v>
      </c>
      <c r="F173" s="2">
        <v>1</v>
      </c>
      <c r="G173" s="2">
        <v>10</v>
      </c>
      <c r="H173" s="2">
        <v>18</v>
      </c>
      <c r="I173" s="2">
        <v>4</v>
      </c>
      <c r="J173" s="2">
        <v>1</v>
      </c>
      <c r="K173" s="2">
        <v>6</v>
      </c>
      <c r="L173" s="2">
        <v>0</v>
      </c>
      <c r="M173" s="2">
        <v>1</v>
      </c>
      <c r="N173" s="8"/>
      <c r="P173" s="8"/>
      <c r="Q173" s="8"/>
      <c r="R173" s="8"/>
    </row>
    <row r="174" spans="2:19" ht="15.75" thickBot="1" x14ac:dyDescent="0.3">
      <c r="B174" s="13" t="s">
        <v>76</v>
      </c>
      <c r="C174" s="2">
        <f t="shared" si="27"/>
        <v>49</v>
      </c>
      <c r="D174" s="2">
        <v>8</v>
      </c>
      <c r="E174" s="2">
        <v>2</v>
      </c>
      <c r="F174" s="2">
        <v>2</v>
      </c>
      <c r="G174" s="2">
        <v>0</v>
      </c>
      <c r="H174" s="2">
        <v>15</v>
      </c>
      <c r="I174" s="2">
        <v>3</v>
      </c>
      <c r="J174" s="2">
        <v>1</v>
      </c>
      <c r="K174" s="2">
        <v>17</v>
      </c>
      <c r="L174" s="2">
        <v>0</v>
      </c>
      <c r="M174" s="2">
        <v>1</v>
      </c>
      <c r="N174" s="8"/>
      <c r="P174" s="8"/>
      <c r="Q174" s="8"/>
      <c r="R174" s="8"/>
    </row>
    <row r="175" spans="2:19" x14ac:dyDescent="0.25">
      <c r="C175" s="2">
        <f>SUM(C170:C174)</f>
        <v>246</v>
      </c>
      <c r="D175">
        <f>SUM(D170:D174)</f>
        <v>8</v>
      </c>
      <c r="E175">
        <f t="shared" ref="E175:M175" si="28">SUM(E170:E174)</f>
        <v>49</v>
      </c>
      <c r="F175">
        <f t="shared" si="28"/>
        <v>15</v>
      </c>
      <c r="G175">
        <f t="shared" si="28"/>
        <v>14</v>
      </c>
      <c r="H175">
        <f t="shared" si="28"/>
        <v>80</v>
      </c>
      <c r="I175">
        <f t="shared" si="28"/>
        <v>8</v>
      </c>
      <c r="J175">
        <f t="shared" si="28"/>
        <v>2</v>
      </c>
      <c r="K175">
        <f t="shared" si="28"/>
        <v>67</v>
      </c>
      <c r="L175">
        <f t="shared" si="28"/>
        <v>0</v>
      </c>
      <c r="M175">
        <f t="shared" si="28"/>
        <v>3</v>
      </c>
    </row>
    <row r="179" spans="1:19" ht="15.75" thickBot="1" x14ac:dyDescent="0.3">
      <c r="D179" s="45" t="s">
        <v>80</v>
      </c>
      <c r="E179" s="45"/>
      <c r="F179" s="45"/>
      <c r="G179" s="45"/>
      <c r="H179" s="45"/>
      <c r="I179" s="45"/>
      <c r="J179" s="45"/>
      <c r="K179" s="45"/>
      <c r="L179" s="45"/>
      <c r="M179" s="45"/>
      <c r="N179" s="23"/>
      <c r="O179" s="23"/>
      <c r="P179" s="23"/>
      <c r="Q179" s="23"/>
      <c r="R179" s="23"/>
      <c r="S179" s="23"/>
    </row>
    <row r="180" spans="1:19" ht="15.75" thickBot="1" x14ac:dyDescent="0.3">
      <c r="B180" s="15" t="s">
        <v>60</v>
      </c>
      <c r="C180" s="16" t="s">
        <v>61</v>
      </c>
      <c r="D180" s="2" t="s">
        <v>62</v>
      </c>
      <c r="E180" s="2" t="s">
        <v>63</v>
      </c>
      <c r="F180" s="2" t="s">
        <v>64</v>
      </c>
      <c r="G180" s="2" t="s">
        <v>65</v>
      </c>
      <c r="H180" s="2" t="s">
        <v>66</v>
      </c>
      <c r="I180" s="2" t="s">
        <v>67</v>
      </c>
      <c r="J180" s="2" t="s">
        <v>68</v>
      </c>
      <c r="K180" s="2" t="s">
        <v>70</v>
      </c>
      <c r="L180" s="2" t="s">
        <v>71</v>
      </c>
      <c r="M180" s="2" t="s">
        <v>69</v>
      </c>
      <c r="N180" s="8"/>
      <c r="P180" s="8"/>
      <c r="Q180" s="8"/>
      <c r="R180" s="8"/>
    </row>
    <row r="181" spans="1:19" ht="15.75" thickBot="1" x14ac:dyDescent="0.3">
      <c r="B181" s="9" t="s">
        <v>77</v>
      </c>
      <c r="C181" s="10">
        <f>SUM(D181:M181)</f>
        <v>29</v>
      </c>
      <c r="D181" s="2">
        <v>2</v>
      </c>
      <c r="E181" s="2">
        <v>2</v>
      </c>
      <c r="F181" s="2">
        <v>2</v>
      </c>
      <c r="G181" s="2">
        <v>2</v>
      </c>
      <c r="H181" s="2">
        <v>6</v>
      </c>
      <c r="I181" s="2">
        <v>1</v>
      </c>
      <c r="J181" s="2">
        <v>7</v>
      </c>
      <c r="K181" s="2">
        <v>7</v>
      </c>
      <c r="L181" s="2">
        <v>0</v>
      </c>
      <c r="M181" s="2">
        <v>0</v>
      </c>
      <c r="N181" s="8"/>
      <c r="P181" s="8"/>
      <c r="Q181" s="8"/>
      <c r="R181" s="8"/>
    </row>
    <row r="182" spans="1:19" ht="15.75" thickBot="1" x14ac:dyDescent="0.3">
      <c r="B182" s="12" t="s">
        <v>58</v>
      </c>
      <c r="C182" s="10">
        <f t="shared" ref="C182:C186" si="29">SUM(D182:M182)</f>
        <v>9</v>
      </c>
      <c r="D182" s="2">
        <v>0</v>
      </c>
      <c r="E182" s="2">
        <v>2</v>
      </c>
      <c r="F182" s="2">
        <v>2</v>
      </c>
      <c r="G182" s="2">
        <v>0</v>
      </c>
      <c r="H182" s="2">
        <v>1</v>
      </c>
      <c r="I182" s="2">
        <v>3</v>
      </c>
      <c r="J182" s="2">
        <v>0</v>
      </c>
      <c r="K182" s="2">
        <v>0</v>
      </c>
      <c r="L182" s="2">
        <v>0</v>
      </c>
      <c r="M182" s="2">
        <v>1</v>
      </c>
      <c r="N182" s="8"/>
      <c r="P182" s="8"/>
      <c r="Q182" s="8"/>
      <c r="R182" s="8"/>
    </row>
    <row r="183" spans="1:19" ht="15.75" thickBot="1" x14ac:dyDescent="0.3">
      <c r="B183" s="12" t="s">
        <v>56</v>
      </c>
      <c r="C183" s="10">
        <f t="shared" si="29"/>
        <v>18</v>
      </c>
      <c r="D183" s="2">
        <v>0</v>
      </c>
      <c r="E183" s="2">
        <v>3</v>
      </c>
      <c r="F183" s="2">
        <v>0</v>
      </c>
      <c r="G183" s="2">
        <v>3</v>
      </c>
      <c r="H183" s="2">
        <v>5</v>
      </c>
      <c r="I183" s="2">
        <v>0</v>
      </c>
      <c r="J183" s="2">
        <v>5</v>
      </c>
      <c r="K183" s="2">
        <v>1</v>
      </c>
      <c r="L183" s="2">
        <v>0</v>
      </c>
      <c r="M183" s="2">
        <v>1</v>
      </c>
      <c r="N183" s="8"/>
      <c r="P183" s="8"/>
      <c r="Q183" s="8"/>
      <c r="R183" s="8"/>
    </row>
    <row r="184" spans="1:19" ht="15.75" thickBot="1" x14ac:dyDescent="0.3">
      <c r="B184" s="12" t="s">
        <v>78</v>
      </c>
      <c r="C184" s="10">
        <f t="shared" si="29"/>
        <v>5</v>
      </c>
      <c r="D184" s="2">
        <v>0</v>
      </c>
      <c r="E184" s="2">
        <v>1</v>
      </c>
      <c r="F184" s="2">
        <v>0</v>
      </c>
      <c r="G184" s="2">
        <v>0</v>
      </c>
      <c r="H184" s="2">
        <v>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8"/>
      <c r="P184" s="8"/>
      <c r="Q184" s="8"/>
      <c r="R184" s="8"/>
    </row>
    <row r="185" spans="1:19" ht="15.75" thickBot="1" x14ac:dyDescent="0.3">
      <c r="B185" s="12" t="s">
        <v>59</v>
      </c>
      <c r="C185" s="10">
        <f t="shared" si="29"/>
        <v>9</v>
      </c>
      <c r="D185" s="2">
        <v>0</v>
      </c>
      <c r="E185" s="2">
        <v>0</v>
      </c>
      <c r="F185" s="2">
        <v>1</v>
      </c>
      <c r="G185" s="2">
        <v>0</v>
      </c>
      <c r="H185" s="2">
        <v>6</v>
      </c>
      <c r="I185" s="2">
        <v>0</v>
      </c>
      <c r="J185" s="2">
        <v>0</v>
      </c>
      <c r="K185" s="2">
        <v>2</v>
      </c>
      <c r="L185" s="2">
        <v>0</v>
      </c>
      <c r="M185" s="2">
        <v>0</v>
      </c>
      <c r="N185" s="8"/>
      <c r="P185" s="8"/>
      <c r="Q185" s="8"/>
      <c r="R185" s="8"/>
    </row>
    <row r="186" spans="1:19" ht="15.75" thickBot="1" x14ac:dyDescent="0.3">
      <c r="B186" s="13" t="s">
        <v>79</v>
      </c>
      <c r="C186" s="10">
        <f t="shared" si="29"/>
        <v>26</v>
      </c>
      <c r="D186" s="2">
        <v>0</v>
      </c>
      <c r="E186" s="2">
        <v>5</v>
      </c>
      <c r="F186" s="2">
        <v>2</v>
      </c>
      <c r="G186" s="2">
        <v>1</v>
      </c>
      <c r="H186" s="2">
        <v>8</v>
      </c>
      <c r="I186" s="2">
        <v>0</v>
      </c>
      <c r="J186" s="2">
        <v>1</v>
      </c>
      <c r="K186" s="2">
        <v>7</v>
      </c>
      <c r="L186" s="2">
        <v>0</v>
      </c>
      <c r="M186" s="2">
        <v>2</v>
      </c>
      <c r="N186" s="8"/>
      <c r="P186" s="8"/>
      <c r="Q186" s="8"/>
      <c r="R186" s="8"/>
    </row>
    <row r="187" spans="1:19" x14ac:dyDescent="0.25">
      <c r="C187" s="7">
        <f>SUM(C181:C186)</f>
        <v>96</v>
      </c>
      <c r="D187">
        <f>SUM(D181:D186)</f>
        <v>2</v>
      </c>
      <c r="E187">
        <f t="shared" ref="E187:M187" si="30">SUM(E181:E186)</f>
        <v>13</v>
      </c>
      <c r="F187">
        <f t="shared" si="30"/>
        <v>7</v>
      </c>
      <c r="G187">
        <f t="shared" si="30"/>
        <v>6</v>
      </c>
      <c r="H187">
        <f t="shared" si="30"/>
        <v>30</v>
      </c>
      <c r="I187">
        <f t="shared" si="30"/>
        <v>4</v>
      </c>
      <c r="J187">
        <f t="shared" si="30"/>
        <v>13</v>
      </c>
      <c r="K187">
        <f t="shared" si="30"/>
        <v>17</v>
      </c>
      <c r="L187">
        <f t="shared" si="30"/>
        <v>0</v>
      </c>
      <c r="M187">
        <f t="shared" si="30"/>
        <v>4</v>
      </c>
    </row>
    <row r="188" spans="1:19" x14ac:dyDescent="0.25">
      <c r="D188" s="39" t="s">
        <v>101</v>
      </c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9" x14ac:dyDescent="0.25">
      <c r="D189" s="28" t="s">
        <v>62</v>
      </c>
      <c r="E189" s="28" t="s">
        <v>63</v>
      </c>
      <c r="F189" s="28" t="s">
        <v>64</v>
      </c>
      <c r="G189" s="28" t="s">
        <v>65</v>
      </c>
      <c r="H189" s="28" t="s">
        <v>66</v>
      </c>
      <c r="I189" s="28" t="s">
        <v>67</v>
      </c>
      <c r="J189" s="28" t="s">
        <v>68</v>
      </c>
      <c r="K189" s="28" t="s">
        <v>70</v>
      </c>
      <c r="L189" s="28" t="s">
        <v>71</v>
      </c>
      <c r="M189" s="28" t="s">
        <v>69</v>
      </c>
      <c r="N189" s="28" t="s">
        <v>104</v>
      </c>
    </row>
    <row r="190" spans="1:19" x14ac:dyDescent="0.25">
      <c r="A190" s="28" t="s">
        <v>102</v>
      </c>
      <c r="B190" s="28">
        <f>(C187+C175+C164+C152+C140+C128+C116+C104+C93+C81+C69+C57+C45+C33+C21+C9)</f>
        <v>3853</v>
      </c>
      <c r="D190" s="2">
        <f>SUM(D187,D175,D164,D152,D140,D128,D116,D104,D93,D81,D69,D57,D45,D33,D21,D9)</f>
        <v>128</v>
      </c>
      <c r="E190" s="2">
        <f>SUM(E187,E175,E164,E152,E140,E128,E116,E104,E93,E81,E69,E57,E45,E33,E21,E9)</f>
        <v>667</v>
      </c>
      <c r="F190" s="2">
        <f t="shared" ref="F190:M190" si="31">SUM(F187,F175,F164,F152,F140,F128,F116,F104,F93,F81,F69,F57,F45,F33,F21,F9)</f>
        <v>340</v>
      </c>
      <c r="G190" s="2">
        <f t="shared" si="31"/>
        <v>208</v>
      </c>
      <c r="H190" s="2">
        <f t="shared" si="31"/>
        <v>894</v>
      </c>
      <c r="I190" s="2">
        <f t="shared" si="31"/>
        <v>605</v>
      </c>
      <c r="J190" s="2">
        <f t="shared" si="31"/>
        <v>198</v>
      </c>
      <c r="K190" s="2">
        <f t="shared" si="31"/>
        <v>365</v>
      </c>
      <c r="L190" s="2">
        <f t="shared" si="31"/>
        <v>57</v>
      </c>
      <c r="M190" s="2">
        <f t="shared" si="31"/>
        <v>36</v>
      </c>
      <c r="N190" s="28"/>
    </row>
    <row r="191" spans="1:19" x14ac:dyDescent="0.25">
      <c r="A191" s="28" t="s">
        <v>103</v>
      </c>
      <c r="B191" s="28">
        <f>B190/16</f>
        <v>240.8125</v>
      </c>
      <c r="D191" s="30">
        <f>D190/B190</f>
        <v>3.3220866856994546E-2</v>
      </c>
      <c r="E191" s="30">
        <f>E190/B$190</f>
        <v>0.17311186088762004</v>
      </c>
      <c r="F191" s="30">
        <f>F190/B$190</f>
        <v>8.8242927588891767E-2</v>
      </c>
      <c r="G191" s="30">
        <f>G190/B$190</f>
        <v>5.3983908642616145E-2</v>
      </c>
      <c r="H191" s="30">
        <f>H190/B$190</f>
        <v>0.2320269919543213</v>
      </c>
      <c r="I191" s="30">
        <f>I190/B$190</f>
        <v>0.15702050350376331</v>
      </c>
      <c r="J191" s="30">
        <f>J190/B$190</f>
        <v>5.1388528419413444E-2</v>
      </c>
      <c r="K191" s="30">
        <f>K190/B$190</f>
        <v>9.4731378146898526E-2</v>
      </c>
      <c r="L191" s="30">
        <f>L190/B$190</f>
        <v>1.4793667272255385E-2</v>
      </c>
      <c r="M191" s="30">
        <f>M190/B$190</f>
        <v>9.3433688035297179E-3</v>
      </c>
      <c r="N191">
        <v>9.214E-2</v>
      </c>
      <c r="O191" s="31">
        <f>SUM(D191:N191)</f>
        <v>1.0000040020763041</v>
      </c>
    </row>
    <row r="195" spans="2:4" x14ac:dyDescent="0.25">
      <c r="B195" s="2" t="s">
        <v>99</v>
      </c>
      <c r="C195" s="2">
        <f>SUM(C170,C147,C123,C99,C76,C52,C28,C4)</f>
        <v>496</v>
      </c>
      <c r="D195" s="30">
        <f>C195/B190</f>
        <v>0.12873085907085388</v>
      </c>
    </row>
    <row r="196" spans="2:4" x14ac:dyDescent="0.25">
      <c r="B196" s="2" t="s">
        <v>73</v>
      </c>
      <c r="C196" s="2">
        <f>SUM(C171,C148,C124,C100,C77,C53,C29,C5)</f>
        <v>718</v>
      </c>
      <c r="D196" s="30">
        <f>C196/B190</f>
        <v>0.18634830002595379</v>
      </c>
    </row>
    <row r="197" spans="2:4" x14ac:dyDescent="0.25">
      <c r="B197" s="2" t="s">
        <v>74</v>
      </c>
      <c r="C197" s="2">
        <f t="shared" ref="C197:C199" si="32">SUM(C172,C149,C125,C101,C78,C54,C30,C6)</f>
        <v>509</v>
      </c>
      <c r="D197" s="30">
        <f>C197/B190</f>
        <v>0.13210485336101738</v>
      </c>
    </row>
    <row r="198" spans="2:4" x14ac:dyDescent="0.25">
      <c r="B198" s="2" t="s">
        <v>75</v>
      </c>
      <c r="C198" s="2">
        <f t="shared" si="32"/>
        <v>496</v>
      </c>
      <c r="D198" s="30">
        <f>C198/B190</f>
        <v>0.12873085907085388</v>
      </c>
    </row>
    <row r="199" spans="2:4" x14ac:dyDescent="0.25">
      <c r="B199" s="2" t="s">
        <v>76</v>
      </c>
      <c r="C199" s="2">
        <f t="shared" si="32"/>
        <v>490</v>
      </c>
      <c r="D199" s="30">
        <f>C199/B190</f>
        <v>0.12717363093693226</v>
      </c>
    </row>
    <row r="200" spans="2:4" x14ac:dyDescent="0.25">
      <c r="B200" s="2" t="s">
        <v>77</v>
      </c>
      <c r="C200" s="2">
        <f>SUM(C181,C158,C134,C110,C87,C63,C39,C15)</f>
        <v>406</v>
      </c>
      <c r="D200" s="30">
        <f>C200/B190</f>
        <v>0.10537243706202959</v>
      </c>
    </row>
    <row r="201" spans="2:4" x14ac:dyDescent="0.25">
      <c r="B201" s="2" t="s">
        <v>58</v>
      </c>
      <c r="C201" s="2">
        <f>SUM(C182,C159,C135,C111,C88,C64,C40,C16)</f>
        <v>219</v>
      </c>
      <c r="D201" s="30">
        <f>C201/B190</f>
        <v>5.6838826888139113E-2</v>
      </c>
    </row>
    <row r="202" spans="2:4" x14ac:dyDescent="0.25">
      <c r="B202" s="2" t="s">
        <v>56</v>
      </c>
      <c r="C202" s="2">
        <f t="shared" ref="C202:C205" si="33">SUM(C183,C160,C136,C112,C89,C65,C41,C17)</f>
        <v>140</v>
      </c>
      <c r="D202" s="30">
        <f>C202/B190</f>
        <v>3.6335323124837789E-2</v>
      </c>
    </row>
    <row r="203" spans="2:4" x14ac:dyDescent="0.25">
      <c r="B203" s="2" t="s">
        <v>78</v>
      </c>
      <c r="C203" s="2">
        <f t="shared" si="33"/>
        <v>34</v>
      </c>
      <c r="D203" s="30">
        <f>C203/B190</f>
        <v>8.8242927588891764E-3</v>
      </c>
    </row>
    <row r="204" spans="2:4" x14ac:dyDescent="0.25">
      <c r="B204" s="2" t="s">
        <v>59</v>
      </c>
      <c r="C204" s="2">
        <f t="shared" si="33"/>
        <v>123</v>
      </c>
      <c r="D204" s="30">
        <f>C204/B190</f>
        <v>3.1923176745393203E-2</v>
      </c>
    </row>
    <row r="205" spans="2:4" x14ac:dyDescent="0.25">
      <c r="B205" s="2" t="s">
        <v>57</v>
      </c>
      <c r="C205" s="2">
        <f t="shared" si="33"/>
        <v>222</v>
      </c>
      <c r="D205" s="30">
        <f>C205/B190</f>
        <v>5.7617440955099922E-2</v>
      </c>
    </row>
    <row r="206" spans="2:4" x14ac:dyDescent="0.25">
      <c r="B206" s="8"/>
      <c r="C206" s="8"/>
      <c r="D206" s="29">
        <f>SUM(D195:D205)</f>
        <v>1</v>
      </c>
    </row>
  </sheetData>
  <mergeCells count="28">
    <mergeCell ref="D188:M188"/>
    <mergeCell ref="AJ16:AK16"/>
    <mergeCell ref="P16:Q16"/>
    <mergeCell ref="T16:U16"/>
    <mergeCell ref="X16:Y16"/>
    <mergeCell ref="AB16:AC16"/>
    <mergeCell ref="AF16:AG16"/>
    <mergeCell ref="D132:M132"/>
    <mergeCell ref="D145:M145"/>
    <mergeCell ref="D156:M156"/>
    <mergeCell ref="D168:M168"/>
    <mergeCell ref="D179:M179"/>
    <mergeCell ref="D74:M74"/>
    <mergeCell ref="D85:M85"/>
    <mergeCell ref="D97:M97"/>
    <mergeCell ref="D108:M108"/>
    <mergeCell ref="D121:M121"/>
    <mergeCell ref="D2:M2"/>
    <mergeCell ref="D13:M13"/>
    <mergeCell ref="D26:M26"/>
    <mergeCell ref="D37:M37"/>
    <mergeCell ref="D61:M61"/>
    <mergeCell ref="D50:M50"/>
    <mergeCell ref="AB1:AC1"/>
    <mergeCell ref="AF1:AG1"/>
    <mergeCell ref="P1:Q1"/>
    <mergeCell ref="T1:U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E50C-B337-4693-8D28-918C6CF63657}">
  <dimension ref="A2:N46"/>
  <sheetViews>
    <sheetView workbookViewId="0">
      <selection activeCell="N4" sqref="N4"/>
    </sheetView>
  </sheetViews>
  <sheetFormatPr baseColWidth="10" defaultColWidth="9.140625" defaultRowHeight="15" x14ac:dyDescent="0.25"/>
  <cols>
    <col min="2" max="2" width="17.42578125" bestFit="1" customWidth="1"/>
    <col min="3" max="3" width="8.140625" bestFit="1" customWidth="1"/>
    <col min="4" max="4" width="6.42578125" bestFit="1" customWidth="1"/>
    <col min="5" max="6" width="13.5703125" bestFit="1" customWidth="1"/>
    <col min="7" max="9" width="12.42578125" bestFit="1" customWidth="1"/>
    <col min="10" max="10" width="8.140625" bestFit="1" customWidth="1"/>
    <col min="11" max="13" width="6.42578125" bestFit="1" customWidth="1"/>
    <col min="14" max="14" width="9.5703125" bestFit="1" customWidth="1"/>
  </cols>
  <sheetData>
    <row r="2" spans="1:14" x14ac:dyDescent="0.25">
      <c r="B2" s="2" t="s">
        <v>43</v>
      </c>
      <c r="C2" s="28" t="s">
        <v>48</v>
      </c>
      <c r="D2" s="2" t="s">
        <v>49</v>
      </c>
      <c r="E2" s="2" t="s">
        <v>50</v>
      </c>
      <c r="F2" s="2" t="s">
        <v>51</v>
      </c>
      <c r="G2" s="2" t="s">
        <v>53</v>
      </c>
      <c r="H2" s="2" t="s">
        <v>52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</row>
    <row r="3" spans="1:14" x14ac:dyDescent="0.25">
      <c r="A3" s="46">
        <v>2026</v>
      </c>
      <c r="B3" s="2" t="s">
        <v>44</v>
      </c>
      <c r="C3" s="28"/>
      <c r="D3" s="28" t="e">
        <f>_xlfn.NORM.INV(C3,,)</f>
        <v>#NUM!</v>
      </c>
      <c r="E3" s="28" t="e">
        <f>_xlfn.NORM.INV(C3,,)</f>
        <v>#NUM!</v>
      </c>
      <c r="F3" s="28" t="e">
        <f>_xlfn.NORM.INV(C3,,)</f>
        <v>#NUM!</v>
      </c>
      <c r="G3" s="28" t="e">
        <f>_xlfn.NORM.INV(C3,,)</f>
        <v>#NUM!</v>
      </c>
      <c r="H3" s="28" t="e">
        <f>_xlfn.NORM.INV(C3,,)</f>
        <v>#NUM!</v>
      </c>
      <c r="I3" s="28" t="e">
        <f>_xlfn.NORM.INV(C3,,)</f>
        <v>#NUM!</v>
      </c>
      <c r="J3" s="28" t="e">
        <f>_xlfn.NORM.INV(C3,,)</f>
        <v>#NUM!</v>
      </c>
      <c r="K3" s="28" t="e">
        <f>_xlfn.NORM.INV(C3,,)</f>
        <v>#NUM!</v>
      </c>
      <c r="L3" s="28" t="e">
        <f>_xlfn.NORM.INV(C3,,)</f>
        <v>#NUM!</v>
      </c>
      <c r="M3" s="28" t="e">
        <f>_xlfn.NORM.INV(C3,,)</f>
        <v>#NUM!</v>
      </c>
      <c r="N3" s="28" t="e">
        <f>_xlfn.NORM.INV(C3,,)</f>
        <v>#NUM!</v>
      </c>
    </row>
    <row r="4" spans="1:14" x14ac:dyDescent="0.25">
      <c r="A4" s="46"/>
      <c r="B4" s="2" t="s">
        <v>45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5">
      <c r="A5" s="46"/>
      <c r="B5" s="2" t="s">
        <v>46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x14ac:dyDescent="0.25">
      <c r="A6" s="46"/>
      <c r="B6" s="2" t="s">
        <v>47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x14ac:dyDescent="0.25">
      <c r="A7" s="46">
        <v>2027</v>
      </c>
      <c r="B7" s="2" t="s">
        <v>44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x14ac:dyDescent="0.25">
      <c r="A8" s="46"/>
      <c r="B8" s="2" t="s">
        <v>45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4" x14ac:dyDescent="0.25">
      <c r="A9" s="46"/>
      <c r="B9" s="2" t="s">
        <v>46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 x14ac:dyDescent="0.25">
      <c r="A10" s="46"/>
      <c r="B10" s="2" t="s">
        <v>47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x14ac:dyDescent="0.25">
      <c r="A11" s="46">
        <v>2028</v>
      </c>
      <c r="B11" s="2" t="s">
        <v>44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 x14ac:dyDescent="0.25">
      <c r="A12" s="46"/>
      <c r="B12" s="2" t="s">
        <v>45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4" x14ac:dyDescent="0.25">
      <c r="A13" s="46"/>
      <c r="B13" s="2" t="s">
        <v>46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x14ac:dyDescent="0.25">
      <c r="A14" s="46"/>
      <c r="B14" s="2" t="s">
        <v>47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x14ac:dyDescent="0.25">
      <c r="A15" s="46">
        <v>2029</v>
      </c>
      <c r="B15" s="2" t="s">
        <v>44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x14ac:dyDescent="0.25">
      <c r="A16" s="46"/>
      <c r="B16" s="2" t="s">
        <v>45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 x14ac:dyDescent="0.25">
      <c r="A17" s="46"/>
      <c r="B17" s="2" t="s">
        <v>46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1:14" x14ac:dyDescent="0.25">
      <c r="A18" s="46"/>
      <c r="B18" s="2" t="s">
        <v>47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 x14ac:dyDescent="0.25">
      <c r="A19" s="46">
        <v>2030</v>
      </c>
      <c r="B19" s="2" t="s">
        <v>44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x14ac:dyDescent="0.25">
      <c r="A20" s="46"/>
      <c r="B20" s="2" t="s">
        <v>45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x14ac:dyDescent="0.25">
      <c r="A21" s="46"/>
      <c r="B21" s="2" t="s">
        <v>46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x14ac:dyDescent="0.25">
      <c r="A22" s="46"/>
      <c r="B22" s="2" t="s">
        <v>47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25">
      <c r="A23" s="46">
        <v>2031</v>
      </c>
      <c r="B23" s="2" t="s">
        <v>44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 x14ac:dyDescent="0.25">
      <c r="A24" s="46"/>
      <c r="B24" s="2" t="s">
        <v>45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4" x14ac:dyDescent="0.25">
      <c r="A25" s="46"/>
      <c r="B25" s="2" t="s">
        <v>46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x14ac:dyDescent="0.25">
      <c r="A26" s="46"/>
      <c r="B26" s="2" t="s">
        <v>47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x14ac:dyDescent="0.25">
      <c r="A27" s="46">
        <v>2032</v>
      </c>
      <c r="B27" s="2" t="s">
        <v>44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4" x14ac:dyDescent="0.25">
      <c r="A28" s="46"/>
      <c r="B28" s="2" t="s">
        <v>45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x14ac:dyDescent="0.25">
      <c r="A29" s="46"/>
      <c r="B29" s="2" t="s">
        <v>46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x14ac:dyDescent="0.25">
      <c r="A30" s="46"/>
      <c r="B30" s="2" t="s">
        <v>47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x14ac:dyDescent="0.25">
      <c r="A31" s="46">
        <v>2033</v>
      </c>
      <c r="B31" s="2" t="s">
        <v>44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 x14ac:dyDescent="0.25">
      <c r="A32" s="46"/>
      <c r="B32" s="2" t="s">
        <v>45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 x14ac:dyDescent="0.25">
      <c r="A33" s="46"/>
      <c r="B33" s="2" t="s">
        <v>46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spans="1:14" x14ac:dyDescent="0.25">
      <c r="A34" s="46"/>
      <c r="B34" s="2" t="s">
        <v>47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1:14" x14ac:dyDescent="0.25">
      <c r="A35" s="46">
        <v>2034</v>
      </c>
      <c r="B35" s="2" t="s">
        <v>44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 x14ac:dyDescent="0.25">
      <c r="A36" s="46"/>
      <c r="B36" s="2" t="s">
        <v>45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4" x14ac:dyDescent="0.25">
      <c r="A37" s="46"/>
      <c r="B37" s="2" t="s">
        <v>46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x14ac:dyDescent="0.25">
      <c r="A38" s="46"/>
      <c r="B38" s="2" t="s">
        <v>47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spans="1:14" x14ac:dyDescent="0.25">
      <c r="A39" s="46">
        <v>2035</v>
      </c>
      <c r="B39" s="2" t="s">
        <v>44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spans="1:14" x14ac:dyDescent="0.25">
      <c r="A40" s="46"/>
      <c r="B40" s="2" t="s">
        <v>45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spans="1:14" x14ac:dyDescent="0.25">
      <c r="A41" s="46"/>
      <c r="B41" s="2" t="s">
        <v>46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4" x14ac:dyDescent="0.25">
      <c r="A42" s="46"/>
      <c r="B42" s="2" t="s">
        <v>47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25">
      <c r="A43" s="46">
        <v>2036</v>
      </c>
      <c r="B43" s="2" t="s">
        <v>44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25">
      <c r="A44" s="46"/>
      <c r="B44" s="2" t="s">
        <v>45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25">
      <c r="A45" s="46"/>
      <c r="B45" s="2" t="s">
        <v>46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25">
      <c r="A46" s="46"/>
      <c r="B46" s="2" t="s">
        <v>47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</sheetData>
  <mergeCells count="11">
    <mergeCell ref="A23:A26"/>
    <mergeCell ref="A3:A6"/>
    <mergeCell ref="A7:A10"/>
    <mergeCell ref="A11:A14"/>
    <mergeCell ref="A15:A18"/>
    <mergeCell ref="A19:A22"/>
    <mergeCell ref="A27:A30"/>
    <mergeCell ref="A31:A34"/>
    <mergeCell ref="A35:A38"/>
    <mergeCell ref="A39:A42"/>
    <mergeCell ref="A43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QuejasXTrimestre</vt:lpstr>
      <vt:lpstr>EntradaQuejas</vt:lpstr>
      <vt:lpstr>ResXVisi</vt:lpstr>
      <vt:lpstr>SalidaQuejas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Hernandez Ruiz</dc:creator>
  <cp:lastModifiedBy>Elian Eduardo Ibanez Perez</cp:lastModifiedBy>
  <dcterms:created xsi:type="dcterms:W3CDTF">2025-11-25T16:29:21Z</dcterms:created>
  <dcterms:modified xsi:type="dcterms:W3CDTF">2025-12-11T17:06:47Z</dcterms:modified>
</cp:coreProperties>
</file>